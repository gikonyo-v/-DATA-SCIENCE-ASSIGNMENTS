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AE1990D-8FDF-40F9-8FA5-D3FF19589BD7}" xr6:coauthVersionLast="47" xr6:coauthVersionMax="47" xr10:uidLastSave="{00000000-0000-0000-0000-000000000000}"/>
  <bookViews>
    <workbookView xWindow="-110" yWindow="-110" windowWidth="19420" windowHeight="10300" firstSheet="1" activeTab="1" xr2:uid="{ADA7FC50-7A2D-420B-B3BA-A9B1981CD172}"/>
  </bookViews>
  <sheets>
    <sheet name="Excel_jumia_dataset (2)" sheetId="1" r:id="rId1"/>
    <sheet name="Sheet1" sheetId="2" r:id="rId2"/>
    <sheet name="Sheet3" sheetId="4" r:id="rId3"/>
    <sheet name="Trend Analysis" sheetId="5" r:id="rId4"/>
    <sheet name="Product Performance" sheetId="6" r:id="rId5"/>
    <sheet name="Dashboard" sheetId="7" r:id="rId6"/>
  </sheets>
  <externalReferences>
    <externalReference r:id="rId7"/>
    <externalReference r:id="rId8"/>
  </externalReferences>
  <definedNames>
    <definedName name="_xlnm._FilterDatabase" localSheetId="0" hidden="1">'Excel_jumia_dataset (2)'!$A$1:$A$116</definedName>
    <definedName name="_xlnm._FilterDatabase" localSheetId="1" hidden="1">Sheet1!$A$1:$M$113</definedName>
    <definedName name="_xlchart.v1.0" hidden="1">Dashboard!$A$11</definedName>
    <definedName name="_xlchart.v1.1" hidden="1">'Trend Analysis'!$B$13:$B$16</definedName>
    <definedName name="_xlchart.v1.2" hidden="1">'Trend Analysis'!$B$3:$B$7</definedName>
    <definedName name="_xlchart.v1.3" hidden="1">Dashboard!$A$10</definedName>
    <definedName name="_xlchart.v1.4" hidden="1">Dashboard!$A$11</definedName>
    <definedName name="_xlchart.v1.5" hidden="1">Dashboard!$A$11</definedName>
    <definedName name="_xlchart.v1.6" hidden="1">Dashboard!$A$11</definedName>
    <definedName name="_xlchart.v1.7" hidden="1">Dashboard!$A$11</definedName>
    <definedName name="_xlchart.v1.8" hidden="1">Dashboard!$A$11</definedName>
    <definedName name="_xlchart.v1.9" hidden="1">Dashboard!$A$11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7" l="1"/>
  <c r="N4" i="7"/>
  <c r="H4" i="7"/>
  <c r="B4" i="7"/>
  <c r="C52" i="5"/>
  <c r="C51" i="5"/>
  <c r="C50" i="5"/>
  <c r="C48" i="5"/>
  <c r="C49" i="5"/>
  <c r="C40" i="5"/>
  <c r="B52" i="5"/>
  <c r="B51" i="5"/>
  <c r="B50" i="5"/>
  <c r="B49" i="5"/>
  <c r="B48" i="5"/>
  <c r="B41" i="5"/>
  <c r="C43" i="5"/>
  <c r="C42" i="5"/>
  <c r="C41" i="5"/>
  <c r="B43" i="5"/>
  <c r="B42" i="5"/>
  <c r="B40" i="5"/>
  <c r="B39" i="5"/>
  <c r="C39" i="5"/>
  <c r="B25" i="6"/>
  <c r="B24" i="6"/>
  <c r="B23" i="6"/>
  <c r="B22" i="6"/>
  <c r="B21" i="6"/>
  <c r="B20" i="6"/>
  <c r="B19" i="6"/>
  <c r="B18" i="6"/>
  <c r="B17" i="6"/>
  <c r="B16" i="6"/>
  <c r="A24" i="6"/>
  <c r="A25" i="6"/>
  <c r="A23" i="6"/>
  <c r="A22" i="6"/>
  <c r="A21" i="6"/>
  <c r="A20" i="6"/>
  <c r="A19" i="6"/>
  <c r="A18" i="6"/>
  <c r="A17" i="6"/>
  <c r="A16" i="6"/>
  <c r="B12" i="6"/>
  <c r="B11" i="6"/>
  <c r="B10" i="6"/>
  <c r="B9" i="6"/>
  <c r="B8" i="6"/>
  <c r="B7" i="6"/>
  <c r="B6" i="6"/>
  <c r="B5" i="6"/>
  <c r="B4" i="6"/>
  <c r="B3" i="6"/>
  <c r="A12" i="6"/>
  <c r="A11" i="6"/>
  <c r="A10" i="6"/>
  <c r="A9" i="6"/>
  <c r="A8" i="6"/>
  <c r="A7" i="6"/>
  <c r="A6" i="6"/>
  <c r="A5" i="6"/>
  <c r="A4" i="6"/>
  <c r="A3" i="6"/>
  <c r="A1" i="6"/>
  <c r="A2" i="6"/>
  <c r="B2" i="6"/>
  <c r="B15" i="5"/>
  <c r="C16" i="5"/>
  <c r="C15" i="5"/>
  <c r="C14" i="5"/>
  <c r="C13" i="5"/>
  <c r="B16" i="5"/>
  <c r="B14" i="5"/>
  <c r="B13" i="5"/>
  <c r="I22" i="2"/>
  <c r="C7" i="5"/>
  <c r="C6" i="5"/>
  <c r="C5" i="5"/>
  <c r="C4" i="5"/>
  <c r="C3" i="5"/>
  <c r="B7" i="5"/>
  <c r="B6" i="5"/>
  <c r="B5" i="5"/>
  <c r="B4" i="5"/>
  <c r="B3" i="5"/>
  <c r="F3" i="2"/>
  <c r="B13" i="4"/>
  <c r="B14" i="4"/>
  <c r="B12" i="4"/>
  <c r="B10" i="4"/>
  <c r="B8" i="4" a="1"/>
  <c r="B7" i="4"/>
  <c r="B6" i="4"/>
  <c r="B5" i="4"/>
  <c r="B4" i="4"/>
  <c r="B3" i="4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2" i="2"/>
  <c r="D2" i="2"/>
  <c r="L8" i="2"/>
  <c r="L9" i="2"/>
  <c r="L5" i="2"/>
  <c r="L4" i="2"/>
  <c r="L3" i="2"/>
  <c r="L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C31" i="4" l="1"/>
  <c r="C30" i="4"/>
  <c r="C29" i="4"/>
  <c r="B31" i="4"/>
  <c r="B30" i="4"/>
  <c r="B29" i="4"/>
  <c r="B24" i="4"/>
  <c r="C24" i="4"/>
  <c r="D24" i="4"/>
  <c r="B21" i="4"/>
  <c r="B22" i="4"/>
  <c r="B20" i="4"/>
  <c r="B23" i="4"/>
  <c r="D23" i="4"/>
  <c r="D22" i="4"/>
  <c r="D21" i="4"/>
  <c r="D20" i="4"/>
  <c r="C23" i="4"/>
  <c r="C22" i="4"/>
  <c r="C21" i="4"/>
  <c r="C20" i="4"/>
  <c r="D31" i="4"/>
  <c r="D29" i="4"/>
  <c r="D3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<sst xmlns="http://schemas.openxmlformats.org/spreadsheetml/2006/main" count="364" uniqueCount="299">
  <si>
    <t>Product,Current price,old price,Discount,Review,Ratingd</t>
  </si>
  <si>
    <t>115  Piece Set Of Multifunctional Precision Screwdrivers,KSh 950,"KSh 1,525",38%,-2,4.5 out of 5</t>
  </si>
  <si>
    <t>Metal Decorative Hooks Key Hangers Entryway Wall Hooks Towel Hooks - Home,KSh 527,KSh 999,47%,-14,4.1 out of 5</t>
  </si>
  <si>
    <t>Portable Mini Cordless Car Vacuum Cleaner - Blue,"KSh 2,199","KSh 2,923",25%,-24,4.6 out of 5</t>
  </si>
  <si>
    <t>Weighing Scale Digital Bathroom Body Fat Scale USB-Black,"KSh 1,580","KSh 2,499",37%,-7,4.7 out of 5</t>
  </si>
  <si>
    <t>Portable Home Small Air Humidifier 3-Speed Fan - Green,"KSh 1,740","KSh 2,356",26%,-5,4.8 out of 5</t>
  </si>
  <si>
    <t>220V 60W Electric Soldering Iron Kits With Tools, Tips, And Multimeter,"KSh 2,999","KSh 3,290",9%,-15,4 out of 5</t>
  </si>
  <si>
    <t>137 Pieces Cake Decorating Tool Set Baking Supplies,"KSh 2,319","KSh 3,032",24%,-55,4.6 out of 5</t>
  </si>
  <si>
    <t>Desk Foldable Fan Adjustable Fan Strong Wind 3 Gear Usb,KSh 988,"KSh 1,580",37%,-2,4 out of 5</t>
  </si>
  <si>
    <t>LASA FOLDING TABLE SERVING STAND,"KSh 1,274","KSh 2,800",55%,-5,4.8 out of 5</t>
  </si>
  <si>
    <t>13 In 1 Home Repair Tools Box Kit Set,"KSh 1,600","KSh 2,929",45%,-5,3.8 out of 5</t>
  </si>
  <si>
    <t>Genebre 115 In 1 Screwdriver Repairing Tool Set For IPhone Cellphone Hand Tool,KSh 799,KSh 999,20%,-12,4.1 out of 5</t>
  </si>
  <si>
    <t>100 Pcs Crochet Hook Tool Set Knitting Hook Set With Box,KSh 990,"KSh 1,500",34%,-39,4.7 out of 5</t>
  </si>
  <si>
    <t>40cm Gold DIY Acrylic Wall Sticker Clock,KSh 552,"KSh 1,035",47%,-12,4.8 out of 5</t>
  </si>
  <si>
    <t>LASA Digital Thermometer And Hydrometer,KSh 501,KSh 860,42%,-6,4.5 out of 5</t>
  </si>
  <si>
    <t>Multifunction Laser Level With Adjustment Tripod,"KSh 1,680","KSh 2,499",33%,-9,4.2 out of 5</t>
  </si>
  <si>
    <t>Anti-Skid Absorbent Insulation Coaster  For Home Office,KSh 332,KSh 684,51%,-2,5 out of 5</t>
  </si>
  <si>
    <t>Peacock  Throw Pillow Cushion Case For Home Car,KSh 195,KSh 360,46%,-2,5 out of 5</t>
  </si>
  <si>
    <t>LASA Aluminum Folding Truck Hand Cart - 68kg Max,"KSh 2,025","KSh 3,971",49%,-3,5 out of 5</t>
  </si>
  <si>
    <t>LED Wall Digital Alarm Clock Study Home 12 / 24H Clock Calendar,"KSh 2,999","KSh 3,699",19%,-5,4.6 out of 5</t>
  </si>
  <si>
    <t>3D Waterproof EVA Plastic Shower Curtain 1.8*2Mtrs,KSh 998,"KSh 1,966",49%,-44,4.6 out of 5</t>
  </si>
  <si>
    <t>3PCS Single Head Knitting Crochet Sweater Needle Set,KSh 38,KSh 80,53%,-13,3.3 out of 5</t>
  </si>
  <si>
    <t>4pcs Bathroom/Kitchen Towel Rack,Roll Paper Holder,Towel Bars,Hook,"KSh 1,860","KSh 3,220",42%,,</t>
  </si>
  <si>
    <t>LED Romantic Spaceship Starry Sky Projector,Children's Bedroom Night Light-Blue,KSh 880,"KSh 1,350",35%,-6,4 out of 5</t>
  </si>
  <si>
    <t>Foldable Overbed Table/Desk,"KSh 1,650","KSh 2,150",23%,-14,4.4 out of 5</t>
  </si>
  <si>
    <t>LASA 3 Tier Bamboo Shoe Bench Storage Shelf,"KSh 2,048","KSh 4,500",54%,-7,4.3 out of 5</t>
  </si>
  <si>
    <t>Electronic Digital Display Vernier Caliper,KSh 420,KSh 647,35%,-49,4.6 out of 5</t>
  </si>
  <si>
    <t>Portable Wardrobe Nonwoven With 3 Hanging Rods And 6 Storage Shelves,"KSh 2,880","KSh 3,520",18%,-12,3.8 out of 5</t>
  </si>
  <si>
    <t>12 Litre Black Insulated Lunch Box,"KSh 1,350","KSh 1,990",32%,-13,3.8 out of 5</t>
  </si>
  <si>
    <t>52 Pieces Cake Decorating Tool Set Gift Kit Baking Supplies,"KSh 1,758","KSh 2,499",30%,-20,4.1 out of 5</t>
  </si>
  <si>
    <t>MultiFunctional Storage Rack Multi-layer Bookshelf,"KSh 2,200","KSh 4,080",46%,,</t>
  </si>
  <si>
    <t>Exfoliate And Exfoliate Face Towel - Black,KSh 185,KSh 382,52%,-9,4.3 out of 5</t>
  </si>
  <si>
    <t>12 Litre Insulated Lunch Box Grey,KSh 980,"KSh 1,490",34%,-12,4.7 out of 5</t>
  </si>
  <si>
    <t>LED Eye Protection  Desk Lamp , Study, Reading, USB Fan - Double Pen Holder,"KSh 1,820","KSh 3,490",48%,-9,4.3 out of 5</t>
  </si>
  <si>
    <t>53Pcs/Set Yarn Knitting Crochet Hooks With Bag - Fortune Cat,"KSh 1,940","KSh 2,650",27%,-20,4.7 out of 5</t>
  </si>
  <si>
    <t>53 Pieces/Set Yarn Knitting Crochet Hooks With Bag - Pansies,"KSh 1,980","KSh 2,699",27%,-32,4.5 out of 5</t>
  </si>
  <si>
    <t>DIY File Folder, Office Drawer File Holder, Pen Holder, Desktop Storage Rack,"KSh 1,620","KSh 2,690",40%,-1,5 out of 5</t>
  </si>
  <si>
    <t>Classic Black Cat Cotton Hemp Pillow Case For Home Car,KSh 171,KSh 360,53%,-2,5 out of 5</t>
  </si>
  <si>
    <t>Punch-free Great Load Bearing Bathroom Storage Rack Wall Shelf-White,KSh 389,KSh 656,41%,-36,4.3 out of 5</t>
  </si>
  <si>
    <t>1/2/3 Seater Elastic Sofa Cover,Living Room/Home Decor Chair Cover-Grey,"KSh 1,620 - KSh 1,980","KSh 2,200 - KSh 3,200",38%,-2,4.5 out of 5</t>
  </si>
  <si>
    <t>LASA Stainless Steel Double Wall Mount Soap Dispenser - 500ml,"KSh 2,750","KSh 4,471",38%,,</t>
  </si>
  <si>
    <t>4M Float Switch Water Level Controller -Water Tank,KSh 475,KSh 931,49%,,</t>
  </si>
  <si>
    <t>Modern Sofa Throw Pillow Cover-45x45cm-Blue&amp;Red,KSh 238,KSh 476,50%,,</t>
  </si>
  <si>
    <t>Balloon Insert, Birthday Party Balloon Set, PU Leather,KSh 610,"KSh 1,060",42%,,</t>
  </si>
  <si>
    <t>Shower Cap Wide Elastic Band Cover Reusable Bashroom Cap,"KSh 2,132","KSh 2,169",2%,,</t>
  </si>
  <si>
    <t>Christmas Elk Fence Yard Lawn Decorations Cute For Holidays,KSh 999,"KSh 2,000",50%,,</t>
  </si>
  <si>
    <t>60W Hot Melt Glue Sprayer - Efficient And Stable Glue Dispensing,"KSh 1,190","KSh 1,785",33%,,</t>
  </si>
  <si>
    <t>Car Phone Charging Stand,KSh 671,"KSh 1,316",49%,,</t>
  </si>
  <si>
    <t>2pcs Solar Street Light Flood Light Outdoor,"KSh 1,200","KSh 1,950",38%,,</t>
  </si>
  <si>
    <t>Creative Owl Shape Keychain Black,KSh 199,KSh 504,61%,,</t>
  </si>
  <si>
    <t>Brush &amp; Paintbrush Cleaning Tool Pink,KSh 299,KSh 600,50%,,</t>
  </si>
  <si>
    <t>Pen Grips For Kids Pen Grip Posture Correction Tool For Kids,"KSh 1,660","KSh 1,699",2%,,</t>
  </si>
  <si>
    <t>Pilates Cloth Bag Waterproof Durable High Capacity Purple,KSh 299,KSh 384,22%,,</t>
  </si>
  <si>
    <t>Multi-purpose Rice Drainage Basket And Fruit And Vegetable Drainage Sieve,"KSh 1,459","KSh 1,499",3%,,</t>
  </si>
  <si>
    <t>Cute Christmas Fence Garden Decorations For Holiday Home,KSh 799,"KSh 1,343",41%,,</t>
  </si>
  <si>
    <t>Simple Metal Dog Art Sculpture Decoration For Home Office,KSh 499,KSh 900,45%,,</t>
  </si>
  <si>
    <t>Christmas Fence Garden Decorations Outdoor For Holiday Home,KSh 699,"KSh 1,343",48%,,</t>
  </si>
  <si>
    <t>Angle Measuring Tool Full Metal Multi Angle Measuring Tool,KSh 799,"KSh 1,567",49%,,</t>
  </si>
  <si>
    <t>12V 19500rpm Handheld Electric Angle Grinder Tool - UK - Yellow/Black,"KSh 2,799","KSh 3,810",27%,,</t>
  </si>
  <si>
    <t>Simple Metal Dog Art Sculpture Decoration For Home Office,KSh 399,KSh 896,55%,,</t>
  </si>
  <si>
    <t>5 Pieces/set Of Stainless Steel Induction Cooker Pots,"KSh 2,170","KSh 2,500",13%,-6,2.5 out of 5</t>
  </si>
  <si>
    <t>Mythco 120COB Solar Wall Ligt With Motion Sensor And Remote Control 3 Modes,KSh 458,KSh 986,54%,-10,3 out of 5</t>
  </si>
  <si>
    <t>5-PCS Stainless Steel Cooking Pot Set With Steamed Slices,"KSh 2,115","KSh 4,700",55%,-13,2.1 out of 5</t>
  </si>
  <si>
    <t>120W Cordless Vacuum Cleaners Handheld Electric Vacuum Cleaner,KSh 445,KSh 873,49%,-69,2.8 out of 5</t>
  </si>
  <si>
    <t>Intelligent  LED Body Sensor Wireless Lighting Night Light USB,KSh 325,KSh 680,52%,-15,2.7 out of 5</t>
  </si>
  <si>
    <t>VIC Wireless Vacuum Cleaner Dual Use For Home And Car 120W High Power Powerful,"KSh 1,220","KSh 1,555",22%,-16,2.9 out of 5</t>
  </si>
  <si>
    <t>Artificial Potted Flowers Room Decorative Flowers (2 Pieces),KSh 990,"KSh 1,814",45%,-6,2.2 out of 5</t>
  </si>
  <si>
    <t>380ML USB Rechargeable Portable Small Blenders And Juicers,"KSh 1,000","KSh 2,000",50%,-7,2.3 out of 5</t>
  </si>
  <si>
    <t>32PCS Portable Cordless Drill Set With Cyclic Battery Drive -26 Variable Speed,"KSh 3,750","KSh 6,143",39%,-5,3 out of 5</t>
  </si>
  <si>
    <t>Agapeon Toothbrush Holder And Toothpaste Dispenser,KSh 382,KSh 700,45%,-17,2.6 out of 5</t>
  </si>
  <si>
    <t>Large Lazy Inflatable Sofa Chairs PVC Lounger Seat Bag,"KSh 2,300","KSh 3,240",29%,-5,3 out of 5</t>
  </si>
  <si>
    <t>Watercolour Gold Foil Textured Print Pillow Cover,KSh 345,KSh 602,43%,-6,2.3 out of 5</t>
  </si>
  <si>
    <t>Wrought Iron Bathroom Shelf Wall Mounted Free Punch Toilet Rack,KSh 509,KSh 899,43%,-5,3 out of 5</t>
  </si>
  <si>
    <t>7-piece Set Of Storage Bags, Travel Storage Bags, Shoe Bags,KSh 968,"KSh 1,814",47%,-6,2.2 out of 5</t>
  </si>
  <si>
    <t>Electric LED UV Mosquito Killer Lamp, Outdoor/Indoor Fly Killer Trap Light -USB,"KSh 1,570","KSh 2,988",47%,-7,2.1 out of 5</t>
  </si>
  <si>
    <t>2PCS/LOT Solar LED Outdoor Intelligent Light Controlled Wall Lamp,KSh 790,"KSh 1,485",47%,,</t>
  </si>
  <si>
    <t>3PCS Rotary Scraper Thermomix For Kitchen,KSh 690,"KSh 1,200",43%,,</t>
  </si>
  <si>
    <t>Cushion Silicone Butt Cushion Summer Ice Cushion Honeycomb Gel Cushion,"KSh 1,732","KSh 1,799",4%,,</t>
  </si>
  <si>
    <t>7PCS Silicone Thumb Knife Finger Protector Vegetable Harvesting Knife,KSh 230,KSh 450,49%,,</t>
  </si>
  <si>
    <t>Memory Foam Neck Pillow Cover, With Pillow Core - 50*30cm,"KSh 1,189","KSh 2,199",46%,-1,3 out of 5</t>
  </si>
  <si>
    <t>Bedroom Simple Floor Hanging Clothes Rack Single Pole Hat Rack - White,KSh 979,"KSh 1,920",49%,-1,5 out of 5</t>
  </si>
  <si>
    <t>5m Waterproof Spherical LED String Lights Outdoor Ball Chain Lights Party Lighting Decoration Adjustable,"KSh 1,460","KSh 2,290",36%,,</t>
  </si>
  <si>
    <t>2 Pairs Cowhide Split Leather Work Gloves.32â„‰ Or Above Welding Gloves,"KSh 1,666","KSh 1,699",2%,,</t>
  </si>
  <si>
    <t>Household Pineapple Peeler Peeler,KSh 330,KSh 647,49%,-1,4 out of 5</t>
  </si>
  <si>
    <t>Creative Owl Shape Keychain Black,KSh 176,KSh 345,49%,,</t>
  </si>
  <si>
    <t>Office Chair Lumbar Back Support Spine Posture Correction Pillow Car Cushion,"KSh 1,466","KSh 1,699",14%,,</t>
  </si>
  <si>
    <t>Cartoon Car Decoration Cute Individuality For Car Home Desk,KSh 274,KSh 537,49%,,</t>
  </si>
  <si>
    <t>Outdoor Portable Water Bottle With Medicine Box - 600ML - Black,KSh 799,KSh 900,11%,,</t>
  </si>
  <si>
    <t>Angle Measuring Tool Full Metal Multi Angle Measuring Tool,KSh 657,"KSh 1,288",49%,,</t>
  </si>
  <si>
    <t>Wall-Mounted Toothbrush Toothpaste Holder With Multiple Slots,"KSh 1,468","KSh 1,699",14%,,</t>
  </si>
  <si>
    <t>Multifunctional Hanging Storage Box Storage Bag (4 Layers),KSh 630,"KSh 1,100",43%,,</t>
  </si>
  <si>
    <t>Wall Clock With Hidden Safe Box,KSh 850,"KSh 1,700",50%,,</t>
  </si>
  <si>
    <t>Portable Wine Table With Folding Round Table,"KSh 1,300","KSh 2,500",48%,,</t>
  </si>
  <si>
    <t>Sewing Machine Needle Threader Stitch Insertion Tool Automatic Quick Sewing,KSh 105,KSh 200,48%,,</t>
  </si>
  <si>
    <t>6 Layers Steel Pipe Assembling Dustproof Storage Shoe Cabinet,KSh 899,"KSh 1,699",47%,,</t>
  </si>
  <si>
    <t>2PCS Ice Silk Square Cushion Cover Pillowcases - 65x65cm,"KSh 1,200","KSh 2,400",50%,,</t>
  </si>
  <si>
    <t>Wall Mount Automatic Toothpaste Dispenser Toothbrush Holder Toothpaste Squeezer,"KSh 1,526","KSh 1,660",8%,,</t>
  </si>
  <si>
    <t>Portable Soap Dispenser Kitchen Detergent Press Box Kitchen Tools,"KSh 1,462","KSh 1,499",2%,,</t>
  </si>
  <si>
    <t>4 Piece Coloured Stainless Steel Kitchenware Set,KSh 248,KSh 486,49%,,</t>
  </si>
  <si>
    <t>Metal Wall Clock Silver Dial Crystal Jewelry Round Home Decoration Wall Clock,"KSh 3,546","KSh 3,699",4%,,</t>
  </si>
  <si>
    <t>Baby Early Education Shape And Color Cognitive Training Toys,KSh 525,"KSh 1,029",49%,,</t>
  </si>
  <si>
    <t>8in1 Screwdriver With LED Light,"KSh 1,080","KSh 1,874",42%,,</t>
  </si>
  <si>
    <t>Konka Healty Electric Kettle, 24-hour Heat Preservation,1.5L,800W, White,"KSh 3,640","KSh 4,588",21%,-1,5 out of 5</t>
  </si>
  <si>
    <t>9pcs Gas Mask, For Painting, Dust, Formaldehyde Grinding, Polishing,"KSh 1,420","KSh 2,420",41%,,</t>
  </si>
  <si>
    <t>24 Grid Wall-mounted Sundries Organiser Fabric Closet Bag Storage Rack,"KSh 1,875","KSh 1,899",1%,,</t>
  </si>
  <si>
    <t>1PC Refrigerator Food Seal Pocket Fridge Bags,KSh 198,KSh 260,24%,,</t>
  </si>
  <si>
    <t>LED Solar Street Light-fake Camera,"KSh 1,150","KSh 1,737",34%,,</t>
  </si>
  <si>
    <t>Cartoon Embroidered Mini Towel Bear Cotton Wash Cloth Hand 4pcs,"KSh 1,190","KSh 1,810",34%,,</t>
  </si>
  <si>
    <t>Shower Nozzle Cleaning Unclogging Needle Mini Crevice Small Hole Cleaning Brush,"KSh 1,658","KSh 1,699",2%,,</t>
  </si>
  <si>
    <t>Thickening Multipurpose Non Stick Easy To Clean Heat Resistant Spoon Pad,"KSh 1,768","KSh 1,799",2%,,</t>
  </si>
  <si>
    <t>6 In 1 Bottle Can Opener Multifunctional Easy Opener,KSh 199,KSh 553,64%,,</t>
  </si>
  <si>
    <t>Wall-mounted Sticker Punch-free Plug Fixer,KSh 450,KSh 900,50%,-1,2 out of 5</t>
  </si>
  <si>
    <t>Black Simple Water Cup Wine Coaster Anti Slip Absorbent,KSh 169,KSh 320,47%,,</t>
  </si>
  <si>
    <t>Product</t>
  </si>
  <si>
    <t>Current price</t>
  </si>
  <si>
    <t>old price</t>
  </si>
  <si>
    <t>Discount</t>
  </si>
  <si>
    <t>Review</t>
  </si>
  <si>
    <t>115 Piece Set Of Multifunctional Precision Screwdrivers</t>
  </si>
  <si>
    <t>Metal Decorative Hooks Key Hangers Entryway Wall Hooks Towel Hooks - Home</t>
  </si>
  <si>
    <t>Portable Mini Cordless Car Vacuum Cleaner - Blue</t>
  </si>
  <si>
    <t>Weighing Scale Digital Bathroom Body Fat Scale USB-Black</t>
  </si>
  <si>
    <t>Portable Home Small Air Humidifier 3-Speed Fan - Green</t>
  </si>
  <si>
    <t>220V 60W Electric Soldering Iron Kits With Tools, Tips, And Multimeter</t>
  </si>
  <si>
    <t>137 Pieces Cake Decorating Tool Set Baking Supplies</t>
  </si>
  <si>
    <t>Desk Foldable Fan Adjustable Fan Strong Wind 3 Gear Usb</t>
  </si>
  <si>
    <t>LASA FOLDING TABLE SERVING STAND</t>
  </si>
  <si>
    <t>13 In 1 Home Repair Tools Box Kit Set</t>
  </si>
  <si>
    <t>Genebre 115 In 1 Screwdriver Repairing Tool Set For IPhone Cellphone Hand Tool</t>
  </si>
  <si>
    <t>100 Pcs Crochet Hook Tool Set Knitting Hook Set With Box</t>
  </si>
  <si>
    <t>40cm Gold DIY Acrylic Wall Sticker Clock</t>
  </si>
  <si>
    <t>LASA Digital Thermometer And Hydrometer</t>
  </si>
  <si>
    <t>Multifunction Laser Level With Adjustment Tripod</t>
  </si>
  <si>
    <t>Anti-Skid Absorbent Insulation Coaster For Home Office</t>
  </si>
  <si>
    <t>Peacock Throw Pillow Cushion Case For Home Car</t>
  </si>
  <si>
    <t>LASA Aluminum Folding Truck Hand Cart - 68kg Max</t>
  </si>
  <si>
    <t>LED Wall Digital Alarm Clock Study Home 12 / 24H Clock Calendar</t>
  </si>
  <si>
    <t>3D Waterproof EVA Plastic Shower Curtain 1.8*2Mtrs</t>
  </si>
  <si>
    <t>3PCS Single Head Knitting Crochet Sweater Needle Set</t>
  </si>
  <si>
    <t>4pcs Bathroom/Kitchen Towel Rack,Roll Paper Holder,Towel Bars,Hook</t>
  </si>
  <si>
    <t>LED Romantic Spaceship Starry Sky Projector,Children's Bedroom Night Light-Blue</t>
  </si>
  <si>
    <t>Foldable Overbed Table/Desk</t>
  </si>
  <si>
    <t>LASA 3 Tier Bamboo Shoe Bench Storage Shelf</t>
  </si>
  <si>
    <t>Electronic Digital Display Vernier Caliper</t>
  </si>
  <si>
    <t>Portable Wardrobe Nonwoven With 3 Hanging Rods And 6 Storage Shelves</t>
  </si>
  <si>
    <t>12 Litre Black Insulated Lunch Box</t>
  </si>
  <si>
    <t>52 Pieces Cake Decorating Tool Set Gift Kit Baking Supplies</t>
  </si>
  <si>
    <t>MultiFunctional Storage Rack Multi-layer Bookshelf</t>
  </si>
  <si>
    <t>Exfoliate And Exfoliate Face Towel - Black</t>
  </si>
  <si>
    <t>12 Litre Insulated Lunch Box Grey</t>
  </si>
  <si>
    <t>LED Eye Protection Desk Lamp , Study, Reading, USB Fan - Double Pen Holder</t>
  </si>
  <si>
    <t>53Pcs/Set Yarn Knitting Crochet Hooks With Bag - Fortune Cat</t>
  </si>
  <si>
    <t>53 Pieces/Set Yarn Knitting Crochet Hooks With Bag - Pansies</t>
  </si>
  <si>
    <t>DIY File Folder, Office Drawer File Holder, Pen Holder, Desktop Storage Rack</t>
  </si>
  <si>
    <t>Classic Black Cat Cotton Hemp Pillow Case For Home Car</t>
  </si>
  <si>
    <t>Punch-free Great Load Bearing Bathroom Storage Rack Wall Shelf-White</t>
  </si>
  <si>
    <t>1/2/3 Seater Elastic Sofa Cover,Living Room/Home Decor Chair Cover-Grey</t>
  </si>
  <si>
    <t>LASA Stainless Steel Double Wall Mount Soap Dispenser - 500ml</t>
  </si>
  <si>
    <t>4M Float Switch Water Level Controller -Water Tank</t>
  </si>
  <si>
    <t>Modern Sofa Throw Pillow Cover-45x45cm-Blue&amp;Red</t>
  </si>
  <si>
    <t>Balloon Insert, Birthday Party Balloon Set, PU Leather</t>
  </si>
  <si>
    <t>Shower Cap Wide Elastic Band Cover Reusable Bashroom Cap</t>
  </si>
  <si>
    <t>Christmas Elk Fence Yard Lawn Decorations Cute For Holidays</t>
  </si>
  <si>
    <t>60W Hot Melt Glue Sprayer - Efficient And Stable Glue Dispensing</t>
  </si>
  <si>
    <t>Car Phone Charging Stand</t>
  </si>
  <si>
    <t>2pcs Solar Street Light Flood Light Outdoor</t>
  </si>
  <si>
    <t>Creative Owl Shape Keychain Black</t>
  </si>
  <si>
    <t>Brush &amp; Paintbrush Cleaning Tool Pink</t>
  </si>
  <si>
    <t>Pen Grips For Kids Pen Grip Posture Correction Tool For Kids</t>
  </si>
  <si>
    <t>Pilates Cloth Bag Waterproof Durable High Capacity Purple</t>
  </si>
  <si>
    <t>Multi-purpose Rice Drainage Basket And Fruit And Vegetable Drainage Sieve</t>
  </si>
  <si>
    <t>Cute Christmas Fence Garden Decorations For Holiday Home</t>
  </si>
  <si>
    <t>Simple Metal Dog Art Sculpture Decoration For Home Office</t>
  </si>
  <si>
    <t>Christmas Fence Garden Decorations Outdoor For Holiday Home</t>
  </si>
  <si>
    <t>Angle Measuring Tool Full Metal Multi Angle Measuring Tool</t>
  </si>
  <si>
    <t>12V 19500rpm Handheld Electric Angle Grinder Tool - UK - Yellow/Black</t>
  </si>
  <si>
    <t>5 Pieces/set Of Stainless Steel Induction Cooker Pots</t>
  </si>
  <si>
    <t>Mythco 120COB Solar Wall Ligt With Motion Sensor And Remote Control 3 Modes</t>
  </si>
  <si>
    <t>5-PCS Stainless Steel Cooking Pot Set With Steamed Slices</t>
  </si>
  <si>
    <t>120W Cordless Vacuum Cleaners Handheld Electric Vacuum Cleaner</t>
  </si>
  <si>
    <t>Intelligent LED Body Sensor Wireless Lighting Night Light USB</t>
  </si>
  <si>
    <t>VIC Wireless Vacuum Cleaner Dual Use For Home And Car 120W High Power Powerful</t>
  </si>
  <si>
    <t>Artificial Potted Flowers Room Decorative Flowers (2 Pieces)</t>
  </si>
  <si>
    <t>380ML USB Rechargeable Portable Small Blenders And Juicers</t>
  </si>
  <si>
    <t>32PCS Portable Cordless Drill Set With Cyclic Battery Drive -26 Variable Speed</t>
  </si>
  <si>
    <t>Agapeon Toothbrush Holder And Toothpaste Dispenser</t>
  </si>
  <si>
    <t>Large Lazy Inflatable Sofa Chairs PVC Lounger Seat Bag</t>
  </si>
  <si>
    <t>Watercolour Gold Foil Textured Print Pillow Cover</t>
  </si>
  <si>
    <t>Wrought Iron Bathroom Shelf Wall Mounted Free Punch Toilet Rack</t>
  </si>
  <si>
    <t>7-piece Set Of Storage Bags, Travel Storage Bags, Shoe Bags</t>
  </si>
  <si>
    <t>Electric LED UV Mosquito Killer Lamp, Outdoor/Indoor Fly Killer Trap Light -USB</t>
  </si>
  <si>
    <t>2PCS/LOT Solar LED Outdoor Intelligent Light Controlled Wall Lamp</t>
  </si>
  <si>
    <t>3PCS Rotary Scraper Thermomix For Kitchen</t>
  </si>
  <si>
    <t>Cushion Silicone Butt Cushion Summer Ice Cushion Honeycomb Gel Cushion</t>
  </si>
  <si>
    <t>7PCS Silicone Thumb Knife Finger Protector Vegetable Harvesting Knife</t>
  </si>
  <si>
    <t>Memory Foam Neck Pillow Cover, With Pillow Core - 50*30cm</t>
  </si>
  <si>
    <t>Bedroom Simple Floor Hanging Clothes Rack Single Pole Hat Rack - White</t>
  </si>
  <si>
    <t>5m Waterproof Spherical LED String Lights Outdoor Ball Chain Lights Party Lighting Decoration Adjustable</t>
  </si>
  <si>
    <t>2 Pairs Cowhide Split Leather Work Gloves.32℉ Or Above Welding Gloves</t>
  </si>
  <si>
    <t>Household Pineapple Peeler Peeler</t>
  </si>
  <si>
    <t>Office Chair Lumbar Back Support Spine Posture Correction Pillow Car Cushion</t>
  </si>
  <si>
    <t>Cartoon Car Decoration Cute Individuality For Car Home Desk</t>
  </si>
  <si>
    <t>Outdoor Portable Water Bottle With Medicine Box - 600ML - Black</t>
  </si>
  <si>
    <t>Wall-Mounted Toothbrush Toothpaste Holder With Multiple Slots</t>
  </si>
  <si>
    <t>Multifunctional Hanging Storage Box Storage Bag (4 Layers)</t>
  </si>
  <si>
    <t>Wall Clock With Hidden Safe Box</t>
  </si>
  <si>
    <t>Portable Wine Table With Folding Round Table</t>
  </si>
  <si>
    <t>Sewing Machine Needle Threader Stitch Insertion Tool Automatic Quick Sewing</t>
  </si>
  <si>
    <t>6 Layers Steel Pipe Assembling Dustproof Storage Shoe Cabinet</t>
  </si>
  <si>
    <t>2PCS Ice Silk Square Cushion Cover Pillowcases - 65x65cm</t>
  </si>
  <si>
    <t>Wall Mount Automatic Toothpaste Dispenser Toothbrush Holder Toothpaste Squeezer</t>
  </si>
  <si>
    <t>Portable Soap Dispenser Kitchen Detergent Press Box Kitchen Tools</t>
  </si>
  <si>
    <t>4 Piece Coloured Stainless Steel Kitchenware Set</t>
  </si>
  <si>
    <t>Metal Wall Clock Silver Dial Crystal Jewelry Round Home Decoration Wall Clock</t>
  </si>
  <si>
    <t>Baby Early Education Shape And Color Cognitive Training Toys</t>
  </si>
  <si>
    <t>8in1 Screwdriver With LED Light</t>
  </si>
  <si>
    <t>Konka Healty Electric Kettle, 24-hour Heat Preservation,1.5L,800W, White</t>
  </si>
  <si>
    <t>9pcs Gas Mask, For Painting, Dust, Formaldehyde Grinding, Polishing</t>
  </si>
  <si>
    <t>24 Grid Wall-mounted Sundries Organiser Fabric Closet Bag Storage Rack</t>
  </si>
  <si>
    <t>1PC Refrigerator Food Seal Pocket Fridge Bags</t>
  </si>
  <si>
    <t>LED Solar Street Light-fake Camera</t>
  </si>
  <si>
    <t>Cartoon Embroidered Mini Towel Bear Cotton Wash Cloth Hand 4pcs</t>
  </si>
  <si>
    <t>Shower Nozzle Cleaning Unclogging Needle Mini Crevice Small Hole Cleaning Brush</t>
  </si>
  <si>
    <t>Thickening Multipurpose Non Stick Easy To Clean Heat Resistant Spoon Pad</t>
  </si>
  <si>
    <t>6 In 1 Bottle Can Opener Multifunctional Easy Opener</t>
  </si>
  <si>
    <t>Wall-mounted Sticker Punch-free Plug Fixer</t>
  </si>
  <si>
    <t>Black Simple Water Cup Wine Coaster Anti Slip Absorbent</t>
  </si>
  <si>
    <t>Ratings</t>
  </si>
  <si>
    <t>Absolute Discount</t>
  </si>
  <si>
    <t>Rating Category</t>
  </si>
  <si>
    <t>Discount Category</t>
  </si>
  <si>
    <t>AVERAGE</t>
  </si>
  <si>
    <t>Current Price</t>
  </si>
  <si>
    <t>Old Price</t>
  </si>
  <si>
    <t>Discount Percentage</t>
  </si>
  <si>
    <t>MEAN:</t>
  </si>
  <si>
    <t>MAX</t>
  </si>
  <si>
    <t>MIN</t>
  </si>
  <si>
    <t>Total Products</t>
  </si>
  <si>
    <t>Total Reviews</t>
  </si>
  <si>
    <t>Most Expensive Product</t>
  </si>
  <si>
    <t>Least Expensive Product</t>
  </si>
  <si>
    <t>DESCRIPTIVE STATISTICS</t>
  </si>
  <si>
    <t>Metric</t>
  </si>
  <si>
    <t>Value</t>
  </si>
  <si>
    <t>Avg Current Price (KSh)</t>
  </si>
  <si>
    <t>Avg Old Price (KSh)</t>
  </si>
  <si>
    <t>Avg Discount %</t>
  </si>
  <si>
    <t>Avg Rating</t>
  </si>
  <si>
    <t>Highest Price (KSh)</t>
  </si>
  <si>
    <t>Lowest Price (KSh)</t>
  </si>
  <si>
    <t>Max Discount %</t>
  </si>
  <si>
    <t>Min Discount %</t>
  </si>
  <si>
    <t>RATING CATEGORY BREAKDOWN</t>
  </si>
  <si>
    <t>Count</t>
  </si>
  <si>
    <t>Avg Price</t>
  </si>
  <si>
    <t>Avg Reviews</t>
  </si>
  <si>
    <t>Poor</t>
  </si>
  <si>
    <t>Average</t>
  </si>
  <si>
    <t>Good</t>
  </si>
  <si>
    <t>Excellent</t>
  </si>
  <si>
    <t>Unknown</t>
  </si>
  <si>
    <t>DISCOUNT CATEGORY BREAKDOWN</t>
  </si>
  <si>
    <t>Low Discount</t>
  </si>
  <si>
    <t>Medium Discount</t>
  </si>
  <si>
    <t>High Discount</t>
  </si>
  <si>
    <t xml:space="preserve">  A. Discount % Bucket vs Avg Reviews</t>
  </si>
  <si>
    <t>Discount % Range</t>
  </si>
  <si>
    <t>Product Count</t>
  </si>
  <si>
    <t>0% – 20%</t>
  </si>
  <si>
    <t>21% – 40%</t>
  </si>
  <si>
    <t>41% – 60%</t>
  </si>
  <si>
    <t>61% – 80%</t>
  </si>
  <si>
    <t>&gt;80%</t>
  </si>
  <si>
    <t xml:space="preserve">  B. Rating Bucket vs Avg Reviews</t>
  </si>
  <si>
    <t>Rating Range</t>
  </si>
  <si>
    <t>2.0–2.9 (Poor)</t>
  </si>
  <si>
    <t>4.5–5.0 (Excellent)</t>
  </si>
  <si>
    <t>3.0–4.0 (Average)</t>
  </si>
  <si>
    <t>4.1–4.4 (Good)</t>
  </si>
  <si>
    <t xml:space="preserve">  C. High Discount (≥40%) but Low Rating (≤3.5) Products</t>
  </si>
  <si>
    <t>Discount %</t>
  </si>
  <si>
    <t>Rating</t>
  </si>
  <si>
    <t>Reviews</t>
  </si>
  <si>
    <t>Disc. Category</t>
  </si>
  <si>
    <t>TOP 10 BY REVIEWS</t>
  </si>
  <si>
    <t>Product (Most Reviews)</t>
  </si>
  <si>
    <t>Rank</t>
  </si>
  <si>
    <t>Product Name</t>
  </si>
  <si>
    <t>Rating (/5)</t>
  </si>
  <si>
    <t xml:space="preserve">E.  TOP 5 HIGHEST-RATED PRODUCTS </t>
  </si>
  <si>
    <t xml:space="preserve">F.  TOP 5 LOWEST-RATED PRODUCTS  </t>
  </si>
  <si>
    <t xml:space="preserve">  SECTION 1 — OVERVIEW: KEY METRICS</t>
  </si>
  <si>
    <t xml:space="preserve">  SECTION 3  - PRODUCT CATEGORIES</t>
  </si>
  <si>
    <t xml:space="preserve"> Total Reviews</t>
  </si>
  <si>
    <t xml:space="preserve">  Avg Rating (/5)</t>
  </si>
  <si>
    <t xml:space="preserve">  Avg Discount %</t>
  </si>
  <si>
    <t xml:space="preserve"> Total Products</t>
  </si>
  <si>
    <t>JUMIA PRODUCT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</si>
</sst>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0.0%"/>
    <numFmt numFmtId="166" formatCode="0.0"/>
    <numFmt numFmtId="167" formatCode="#,##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374151"/>
      <name val="Arial"/>
      <family val="2"/>
    </font>
    <font>
      <sz val="11"/>
      <color theme="1"/>
      <name val="Calibri"/>
      <family val="2"/>
      <charset val="1"/>
    </font>
    <font>
      <sz val="9"/>
      <color rgb="FF37415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22"/>
      <color rgb="FFFFFFFF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3A6B"/>
        <bgColor rgb="FF374151"/>
      </patternFill>
    </fill>
    <fill>
      <patternFill patternType="solid">
        <fgColor rgb="FFF3F4F6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theme="0"/>
        <bgColor rgb="FFED7D3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FAFC"/>
      </patternFill>
    </fill>
    <fill>
      <patternFill patternType="solid">
        <fgColor theme="0"/>
        <bgColor rgb="FFFEE2E2"/>
      </patternFill>
    </fill>
    <fill>
      <patternFill patternType="solid">
        <fgColor theme="0"/>
        <bgColor rgb="FF333399"/>
      </patternFill>
    </fill>
    <fill>
      <patternFill patternType="solid">
        <fgColor theme="0"/>
        <bgColor rgb="FFE5E7EB"/>
      </patternFill>
    </fill>
    <fill>
      <patternFill patternType="solid">
        <fgColor rgb="FFF1F5F9"/>
        <bgColor rgb="FFF3F4F6"/>
      </patternFill>
    </fill>
    <fill>
      <patternFill patternType="solid">
        <fgColor rgb="FF7C3AED"/>
        <bgColor rgb="FF993366"/>
      </patternFill>
    </fill>
    <fill>
      <patternFill patternType="solid">
        <fgColor rgb="FF15803D"/>
        <bgColor rgb="FF008080"/>
      </patternFill>
    </fill>
    <fill>
      <patternFill patternType="solid">
        <fgColor rgb="FFEA580C"/>
        <bgColor rgb="FFED7D31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rgb="FF37415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8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9" fillId="34" borderId="10" xfId="0" applyFont="1" applyFill="1" applyBorder="1" applyAlignment="1">
      <alignment horizontal="left" vertical="center"/>
    </xf>
    <xf numFmtId="0" fontId="19" fillId="35" borderId="10" xfId="0" applyFont="1" applyFill="1" applyBorder="1" applyAlignment="1">
      <alignment horizontal="left" vertical="center"/>
    </xf>
    <xf numFmtId="0" fontId="20" fillId="0" borderId="0" xfId="0" applyFont="1"/>
    <xf numFmtId="166" fontId="0" fillId="0" borderId="0" xfId="0" applyNumberFormat="1"/>
    <xf numFmtId="167" fontId="0" fillId="0" borderId="0" xfId="0" applyNumberFormat="1"/>
    <xf numFmtId="0" fontId="0" fillId="37" borderId="0" xfId="0" applyFill="1"/>
    <xf numFmtId="0" fontId="21" fillId="38" borderId="10" xfId="0" applyFont="1" applyFill="1" applyBorder="1" applyAlignment="1">
      <alignment horizontal="left" vertical="center" wrapText="1"/>
    </xf>
    <xf numFmtId="9" fontId="21" fillId="38" borderId="10" xfId="0" applyNumberFormat="1" applyFont="1" applyFill="1" applyBorder="1" applyAlignment="1">
      <alignment horizontal="center" vertical="center"/>
    </xf>
    <xf numFmtId="0" fontId="21" fillId="39" borderId="10" xfId="0" applyFont="1" applyFill="1" applyBorder="1" applyAlignment="1">
      <alignment horizontal="left" vertical="center" wrapText="1"/>
    </xf>
    <xf numFmtId="9" fontId="21" fillId="39" borderId="10" xfId="0" applyNumberFormat="1" applyFont="1" applyFill="1" applyBorder="1" applyAlignment="1">
      <alignment horizontal="center" vertical="center"/>
    </xf>
    <xf numFmtId="3" fontId="21" fillId="38" borderId="10" xfId="0" applyNumberFormat="1" applyFont="1" applyFill="1" applyBorder="1" applyAlignment="1">
      <alignment horizontal="center" vertical="center"/>
    </xf>
    <xf numFmtId="0" fontId="21" fillId="41" borderId="10" xfId="0" applyFont="1" applyFill="1" applyBorder="1" applyAlignment="1">
      <alignment horizontal="left" vertical="center" wrapText="1"/>
    </xf>
    <xf numFmtId="3" fontId="21" fillId="41" borderId="10" xfId="0" applyNumberFormat="1" applyFont="1" applyFill="1" applyBorder="1" applyAlignment="1">
      <alignment horizontal="center" vertical="center"/>
    </xf>
    <xf numFmtId="0" fontId="22" fillId="40" borderId="0" xfId="0" applyFont="1" applyFill="1" applyAlignment="1">
      <alignment horizontal="center" vertical="center"/>
    </xf>
    <xf numFmtId="0" fontId="23" fillId="40" borderId="10" xfId="0" applyFon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0" fontId="22" fillId="36" borderId="0" xfId="0" applyFont="1" applyFill="1" applyAlignment="1">
      <alignment horizontal="center" vertical="center"/>
    </xf>
    <xf numFmtId="0" fontId="21" fillId="39" borderId="0" xfId="0" applyFont="1" applyFill="1" applyBorder="1" applyAlignment="1">
      <alignment horizontal="left" vertical="center" wrapText="1"/>
    </xf>
    <xf numFmtId="9" fontId="21" fillId="39" borderId="0" xfId="0" applyNumberFormat="1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0" fillId="42" borderId="0" xfId="0" applyFill="1"/>
    <xf numFmtId="0" fontId="24" fillId="33" borderId="0" xfId="0" applyFont="1" applyFill="1" applyAlignment="1">
      <alignment horizontal="center" vertical="center"/>
    </xf>
    <xf numFmtId="3" fontId="24" fillId="43" borderId="0" xfId="0" applyNumberFormat="1" applyFont="1" applyFill="1" applyAlignment="1">
      <alignment horizontal="center" vertical="center"/>
    </xf>
    <xf numFmtId="2" fontId="24" fillId="44" borderId="0" xfId="0" applyNumberFormat="1" applyFont="1" applyFill="1" applyAlignment="1">
      <alignment horizontal="center" vertical="center"/>
    </xf>
    <xf numFmtId="165" fontId="24" fillId="45" borderId="0" xfId="0" applyNumberFormat="1" applyFont="1" applyFill="1" applyAlignment="1">
      <alignment horizontal="center" vertical="center"/>
    </xf>
    <xf numFmtId="0" fontId="18" fillId="43" borderId="0" xfId="0" applyFont="1" applyFill="1" applyAlignment="1">
      <alignment horizontal="center" vertical="center"/>
    </xf>
    <xf numFmtId="0" fontId="18" fillId="44" borderId="0" xfId="0" applyFont="1" applyFill="1" applyAlignment="1">
      <alignment horizontal="center" vertical="center"/>
    </xf>
    <xf numFmtId="0" fontId="18" fillId="45" borderId="0" xfId="0" applyFont="1" applyFill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3" fontId="23" fillId="35" borderId="10" xfId="0" applyNumberFormat="1" applyFont="1" applyFill="1" applyBorder="1" applyAlignment="1">
      <alignment horizontal="center" vertical="center"/>
    </xf>
    <xf numFmtId="3" fontId="23" fillId="34" borderId="10" xfId="0" applyNumberFormat="1" applyFont="1" applyFill="1" applyBorder="1" applyAlignment="1">
      <alignment horizontal="center" vertical="center"/>
    </xf>
    <xf numFmtId="165" fontId="23" fillId="35" borderId="10" xfId="0" applyNumberFormat="1" applyFont="1" applyFill="1" applyBorder="1" applyAlignment="1">
      <alignment horizontal="center" vertical="center"/>
    </xf>
    <xf numFmtId="2" fontId="23" fillId="34" borderId="10" xfId="0" applyNumberFormat="1" applyFont="1" applyFill="1" applyBorder="1" applyAlignment="1">
      <alignment horizontal="center" vertical="center"/>
    </xf>
    <xf numFmtId="0" fontId="23" fillId="35" borderId="10" xfId="0" applyFont="1" applyFill="1" applyBorder="1" applyAlignment="1">
      <alignment horizontal="center" vertical="center"/>
    </xf>
    <xf numFmtId="165" fontId="23" fillId="34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3" fillId="46" borderId="0" xfId="0" applyFont="1" applyFill="1" applyAlignment="1">
      <alignment horizontal="center" vertical="center"/>
    </xf>
    <xf numFmtId="0" fontId="25" fillId="47" borderId="0" xfId="0" applyFont="1" applyFill="1" applyAlignment="1">
      <alignment horizontal="center" vertical="center"/>
    </xf>
    <xf numFmtId="0" fontId="19" fillId="38" borderId="10" xfId="0" applyFont="1" applyFill="1" applyBorder="1" applyAlignment="1">
      <alignment horizontal="left" vertical="center"/>
    </xf>
    <xf numFmtId="0" fontId="25" fillId="47" borderId="0" xfId="0" applyFont="1" applyFill="1" applyAlignment="1">
      <alignment horizontal="left" vertical="center"/>
    </xf>
    <xf numFmtId="0" fontId="26" fillId="47" borderId="0" xfId="0" applyFont="1" applyFill="1" applyAlignment="1">
      <alignment horizontal="center" vertical="center"/>
    </xf>
    <xf numFmtId="0" fontId="27" fillId="42" borderId="0" xfId="0" applyFont="1" applyFill="1"/>
    <xf numFmtId="0" fontId="27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Products by Rating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[2]Analysis!$B$20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A7B-4195-909F-5312F68A6760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2-3A7B-4195-909F-5312F68A6760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4-3A7B-4195-909F-5312F68A676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7B-4195-909F-5312F68A676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7B-4195-909F-5312F68A676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7B-4195-909F-5312F68A6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[2]Analysis!$A$21:$A$23</c:f>
              <c:strCache>
                <c:ptCount val="3"/>
                <c:pt idx="0">
                  <c:v>Excellent (≥4.5)</c:v>
                </c:pt>
                <c:pt idx="1">
                  <c:v>Average (3–4.4)</c:v>
                </c:pt>
                <c:pt idx="2">
                  <c:v>Poor (&lt;3)</c:v>
                </c:pt>
              </c:strCache>
            </c:strRef>
          </c:cat>
          <c:val>
            <c:numRef>
              <c:f>[2]Analysis!$B$21:$B$23</c:f>
              <c:numCache>
                <c:formatCode>#,##0</c:formatCode>
                <c:ptCount val="3"/>
                <c:pt idx="0">
                  <c:v>23</c:v>
                </c:pt>
                <c:pt idx="1">
                  <c:v>22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7B-4195-909F-5312F68A6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Products by Discount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[2]Analysis!$B$28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E24-4227-B066-F991F68F0FF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2-4E24-4227-B066-F991F68F0FF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24-4227-B066-F991F68F0FF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24-4227-B066-F991F68F0F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[2]Analysis!$A$29:$A$31</c:f>
              <c:strCache>
                <c:ptCount val="3"/>
                <c:pt idx="0">
                  <c:v>High Discount (&gt;40%)</c:v>
                </c:pt>
                <c:pt idx="1">
                  <c:v>Medium Discount (20-40%)</c:v>
                </c:pt>
                <c:pt idx="2">
                  <c:v>Low Discount (&lt;20%)</c:v>
                </c:pt>
              </c:strCache>
            </c:strRef>
          </c:cat>
          <c:val>
            <c:numRef>
              <c:f>[2]Analysis!$B$29:$B$30</c:f>
              <c:numCache>
                <c:formatCode>General</c:formatCode>
                <c:ptCount val="2"/>
                <c:pt idx="0">
                  <c:v>62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24-4227-B066-F991F68F0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9</xdr:col>
      <xdr:colOff>221920</xdr:colOff>
      <xdr:row>32</xdr:row>
      <xdr:rowOff>17200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CC88122-37DE-4258-90F0-8BA377A01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9</xdr:row>
      <xdr:rowOff>0</xdr:rowOff>
    </xdr:from>
    <xdr:to>
      <xdr:col>21</xdr:col>
      <xdr:colOff>218890</xdr:colOff>
      <xdr:row>32</xdr:row>
      <xdr:rowOff>17200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4860C6E-899C-4DE8-AE84-3379A7F6E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Excel_jumia_dataset__2excelcl_.xlsx" TargetMode="External"/><Relationship Id="rId1" Type="http://schemas.openxmlformats.org/officeDocument/2006/relationships/externalLinkPath" Target="Excel_jumia_dataset__2excelcl_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Excel_jumia_dataset__NUMERO2excel_.xlsx" TargetMode="External"/><Relationship Id="rId1" Type="http://schemas.openxmlformats.org/officeDocument/2006/relationships/externalLinkPath" Target="Excel_jumia_dataset__NUMERO2excel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Excel_jumia_dataset (2)"/>
      <sheetName val="Sheet1"/>
      <sheetName val="Analysis"/>
    </sheetNames>
    <sheetDataSet>
      <sheetData sheetId="0"/>
      <sheetData sheetId="1"/>
      <sheetData sheetId="2"/>
      <sheetData sheetId="3">
        <row r="2">
          <cell r="K2" t="str">
            <v>Reviews</v>
          </cell>
        </row>
        <row r="3">
          <cell r="J3" t="str">
            <v>120W Cordless Vacuum Cleaners Handheld Electric Vacuum Cleaner</v>
          </cell>
          <cell r="K3">
            <v>69</v>
          </cell>
        </row>
        <row r="4">
          <cell r="J4" t="str">
            <v>137 Pieces Cake Decorating Tool Set Baking Supplies</v>
          </cell>
          <cell r="K4">
            <v>55</v>
          </cell>
        </row>
        <row r="5">
          <cell r="J5" t="str">
            <v>Electronic Digital Display Vernier Caliper</v>
          </cell>
          <cell r="K5">
            <v>49</v>
          </cell>
        </row>
        <row r="6">
          <cell r="J6" t="str">
            <v>3D Waterproof EVA Plastic Shower Curtain 1.8*2Mtrs</v>
          </cell>
          <cell r="K6">
            <v>44</v>
          </cell>
        </row>
        <row r="7">
          <cell r="J7" t="str">
            <v>100 Pcs Crochet Hook Tool Set Knitting Hook Set With Box</v>
          </cell>
          <cell r="K7">
            <v>39</v>
          </cell>
        </row>
        <row r="8">
          <cell r="J8" t="str">
            <v>Punch-free Great Load Bearing Bathroom Storage Rack Wall Shelf-White</v>
          </cell>
          <cell r="K8">
            <v>36</v>
          </cell>
        </row>
        <row r="9">
          <cell r="J9" t="str">
            <v>53 Pieces/Set Yarn Knitting Crochet Hooks With Bag - Pansies</v>
          </cell>
          <cell r="K9">
            <v>32</v>
          </cell>
        </row>
        <row r="10">
          <cell r="J10" t="str">
            <v>Portable Mini Cordless Car Vacuum Cleaner - Blue</v>
          </cell>
          <cell r="K10">
            <v>24</v>
          </cell>
        </row>
        <row r="11">
          <cell r="J11" t="str">
            <v>52 Pieces Cake Decorating Tool Set Gift Kit Baking Supplies</v>
          </cell>
          <cell r="K11">
            <v>20</v>
          </cell>
        </row>
        <row r="12">
          <cell r="J12" t="str">
            <v>52 Pieces Cake Decorating Tool Set Gift Kit Baking Supplies</v>
          </cell>
          <cell r="K12">
            <v>20</v>
          </cell>
        </row>
        <row r="22">
          <cell r="F22" t="str">
            <v>TOP 10 BY DISCOUNT</v>
          </cell>
        </row>
        <row r="23">
          <cell r="F23" t="str">
            <v>Product (Top Discount)</v>
          </cell>
          <cell r="G23" t="str">
            <v>Discount %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Excel_jumia_dataset (2)"/>
      <sheetName val="Sheet1"/>
      <sheetName val="Analysis"/>
    </sheetNames>
    <sheetDataSet>
      <sheetData sheetId="0"/>
      <sheetData sheetId="1"/>
      <sheetData sheetId="2"/>
      <sheetData sheetId="3">
        <row r="20">
          <cell r="B20" t="str">
            <v>Count</v>
          </cell>
        </row>
        <row r="21">
          <cell r="A21" t="str">
            <v>Excellent (≥4.5)</v>
          </cell>
          <cell r="B21">
            <v>23</v>
          </cell>
        </row>
        <row r="22">
          <cell r="A22" t="str">
            <v>Average (3–4.4)</v>
          </cell>
          <cell r="B22">
            <v>22</v>
          </cell>
        </row>
        <row r="23">
          <cell r="A23" t="str">
            <v>Poor (&lt;3)</v>
          </cell>
          <cell r="B23">
            <v>12</v>
          </cell>
        </row>
        <row r="28">
          <cell r="B28" t="str">
            <v>Count</v>
          </cell>
        </row>
        <row r="29">
          <cell r="A29" t="str">
            <v>High Discount (&gt;40%)</v>
          </cell>
          <cell r="B29">
            <v>62</v>
          </cell>
        </row>
        <row r="30">
          <cell r="A30" t="str">
            <v>Medium Discount (20-40%)</v>
          </cell>
          <cell r="B30">
            <v>32</v>
          </cell>
        </row>
        <row r="31">
          <cell r="A31" t="str">
            <v>Low Discount (&lt;20%)</v>
          </cell>
        </row>
        <row r="35">
          <cell r="B35" t="str">
            <v>High Discount (&gt;40%)</v>
          </cell>
          <cell r="C35" t="str">
            <v>Medium Discount (20-40%)</v>
          </cell>
          <cell r="D35" t="str">
            <v>Low Discount (&lt;20%)</v>
          </cell>
        </row>
        <row r="36">
          <cell r="A36" t="str">
            <v>No. of Products</v>
          </cell>
          <cell r="B36">
            <v>62</v>
          </cell>
          <cell r="C36">
            <v>32</v>
          </cell>
          <cell r="D36">
            <v>18</v>
          </cell>
        </row>
        <row r="37">
          <cell r="A37" t="str">
            <v>Avg Rating (/5)</v>
          </cell>
          <cell r="B37">
            <v>3.6133333333333324</v>
          </cell>
          <cell r="C37">
            <v>4.2782608695652184</v>
          </cell>
          <cell r="D37">
            <v>3.7249999999999996</v>
          </cell>
        </row>
        <row r="38">
          <cell r="A38" t="str">
            <v>Avg No. of Reviews</v>
          </cell>
          <cell r="B38">
            <v>11.133333333333333</v>
          </cell>
          <cell r="C38">
            <v>15.260869565217391</v>
          </cell>
          <cell r="D38">
            <v>9.5</v>
          </cell>
        </row>
        <row r="39">
          <cell r="A39" t="str">
            <v>Avg Current Price (KSh)</v>
          </cell>
          <cell r="B39">
            <v>756.41935483870964</v>
          </cell>
          <cell r="C39">
            <v>1586.53125</v>
          </cell>
          <cell r="D39">
            <v>1959.1666666666667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D959-8EA8-40A7-861B-E1CFD3F0E44A}">
  <dimension ref="A1:A116"/>
  <sheetViews>
    <sheetView topLeftCell="A25" workbookViewId="0">
      <selection activeCell="A25" sqref="A1:XFD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43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88</v>
      </c>
    </row>
    <row r="92" spans="1:1" x14ac:dyDescent="0.35">
      <c r="A92" t="s">
        <v>89</v>
      </c>
    </row>
    <row r="93" spans="1:1" x14ac:dyDescent="0.35">
      <c r="A93" t="s">
        <v>90</v>
      </c>
    </row>
    <row r="94" spans="1:1" x14ac:dyDescent="0.35">
      <c r="A94" t="s">
        <v>91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94</v>
      </c>
    </row>
    <row r="99" spans="1:1" x14ac:dyDescent="0.35">
      <c r="A99" t="s">
        <v>95</v>
      </c>
    </row>
    <row r="100" spans="1:1" x14ac:dyDescent="0.35">
      <c r="A100" t="s">
        <v>96</v>
      </c>
    </row>
    <row r="101" spans="1:1" x14ac:dyDescent="0.35">
      <c r="A101" t="s">
        <v>97</v>
      </c>
    </row>
    <row r="102" spans="1:1" x14ac:dyDescent="0.35">
      <c r="A102" t="s">
        <v>98</v>
      </c>
    </row>
    <row r="103" spans="1:1" x14ac:dyDescent="0.35">
      <c r="A103" t="s">
        <v>99</v>
      </c>
    </row>
    <row r="104" spans="1:1" x14ac:dyDescent="0.35">
      <c r="A104" t="s">
        <v>100</v>
      </c>
    </row>
    <row r="105" spans="1:1" x14ac:dyDescent="0.35">
      <c r="A105" t="s">
        <v>101</v>
      </c>
    </row>
    <row r="106" spans="1:1" x14ac:dyDescent="0.35">
      <c r="A106" t="s">
        <v>102</v>
      </c>
    </row>
    <row r="107" spans="1:1" x14ac:dyDescent="0.35">
      <c r="A107" t="s">
        <v>103</v>
      </c>
    </row>
    <row r="108" spans="1:1" x14ac:dyDescent="0.35">
      <c r="A108" t="s">
        <v>104</v>
      </c>
    </row>
    <row r="109" spans="1:1" x14ac:dyDescent="0.35">
      <c r="A109" t="s">
        <v>105</v>
      </c>
    </row>
    <row r="110" spans="1:1" x14ac:dyDescent="0.35">
      <c r="A110" t="s">
        <v>106</v>
      </c>
    </row>
    <row r="111" spans="1:1" x14ac:dyDescent="0.35">
      <c r="A111" t="s">
        <v>107</v>
      </c>
    </row>
    <row r="112" spans="1:1" x14ac:dyDescent="0.35">
      <c r="A112" t="s">
        <v>108</v>
      </c>
    </row>
    <row r="113" spans="1:1" x14ac:dyDescent="0.35">
      <c r="A113" t="s">
        <v>109</v>
      </c>
    </row>
    <row r="114" spans="1:1" x14ac:dyDescent="0.35">
      <c r="A114" t="s">
        <v>110</v>
      </c>
    </row>
    <row r="115" spans="1:1" x14ac:dyDescent="0.35">
      <c r="A115" t="s">
        <v>111</v>
      </c>
    </row>
    <row r="116" spans="1:1" x14ac:dyDescent="0.35">
      <c r="A116" t="s">
        <v>112</v>
      </c>
    </row>
  </sheetData>
  <autoFilter ref="A1:A116" xr:uid="{D3C4D959-8EA8-40A7-861B-E1CFD3F0E44A}"/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FC09-57BD-4B40-AFA7-932220FFE6E6}">
  <sheetPr filterMode="1"/>
  <dimension ref="A1:L113"/>
  <sheetViews>
    <sheetView tabSelected="1" zoomScale="120" zoomScaleNormal="120" workbookViewId="0">
      <selection activeCell="F64" sqref="F64"/>
    </sheetView>
  </sheetViews>
  <sheetFormatPr defaultColWidth="15.26953125" defaultRowHeight="14.5" x14ac:dyDescent="0.35"/>
  <cols>
    <col min="2" max="4" width="15.26953125" style="3"/>
    <col min="11" max="11" width="17.08984375" customWidth="1"/>
  </cols>
  <sheetData>
    <row r="1" spans="1:12" x14ac:dyDescent="0.35">
      <c r="A1" t="s">
        <v>113</v>
      </c>
      <c r="B1" s="3" t="s">
        <v>114</v>
      </c>
      <c r="C1" s="3" t="s">
        <v>115</v>
      </c>
      <c r="D1" s="3" t="s">
        <v>228</v>
      </c>
      <c r="E1" t="s">
        <v>116</v>
      </c>
      <c r="F1" s="3" t="s">
        <v>230</v>
      </c>
      <c r="G1" t="s">
        <v>117</v>
      </c>
      <c r="H1" t="s">
        <v>227</v>
      </c>
      <c r="I1" t="s">
        <v>229</v>
      </c>
      <c r="K1" t="s">
        <v>231</v>
      </c>
    </row>
    <row r="2" spans="1:12" hidden="1" x14ac:dyDescent="0.35">
      <c r="A2" t="s">
        <v>118</v>
      </c>
      <c r="B2" s="3">
        <v>950</v>
      </c>
      <c r="C2" s="3">
        <v>1525</v>
      </c>
      <c r="D2" s="3">
        <f>C2-B2</f>
        <v>575</v>
      </c>
      <c r="E2" s="1">
        <v>0.38</v>
      </c>
      <c r="F2" s="1" t="str">
        <f>IF(E2&lt;20%,"Low Discount",IF(E2&lt;=40%,"Medium Discount","High Discount"))</f>
        <v>Medium Discount</v>
      </c>
      <c r="G2">
        <v>2</v>
      </c>
      <c r="H2">
        <v>4.5</v>
      </c>
      <c r="I2" t="str">
        <f>IF(ISBLANK(H2),"Unknown",IF(H2&lt;3,"Poor", IF(H2&lt;=4,"Average", IF(H2&lt;4.5,"Good","Excellent"))))</f>
        <v>Excellent</v>
      </c>
      <c r="K2" t="s">
        <v>232</v>
      </c>
      <c r="L2" s="3">
        <f>AVERAGE(B2:B113)</f>
        <v>1186.8928571428571</v>
      </c>
    </row>
    <row r="3" spans="1:12" hidden="1" x14ac:dyDescent="0.35">
      <c r="A3" t="s">
        <v>119</v>
      </c>
      <c r="B3" s="3">
        <v>527</v>
      </c>
      <c r="C3" s="3">
        <v>999</v>
      </c>
      <c r="D3" s="3">
        <f t="shared" ref="D3:D66" si="0">C3-B3</f>
        <v>472</v>
      </c>
      <c r="E3" s="1">
        <v>0.47</v>
      </c>
      <c r="F3" s="1" t="str">
        <f>IF(E3&lt;20%,"Low Discount",IF(E3&lt;=40%,"Medium Discount","High Discount"))</f>
        <v>High Discount</v>
      </c>
      <c r="G3">
        <v>14</v>
      </c>
      <c r="H3">
        <v>4.0999999999999996</v>
      </c>
      <c r="I3" t="str">
        <f t="shared" ref="I3:I66" si="1">IF(ISBLANK(H3),"Unknown",IF(H3&lt;3,"Poor", IF(H3&lt;=4,"Average", IF(H3&lt;4.5,"Good","Excellent"))))</f>
        <v>Good</v>
      </c>
      <c r="K3" t="s">
        <v>233</v>
      </c>
      <c r="L3" s="3">
        <f>AVERAGE(C2:C113)</f>
        <v>1811.1071428571429</v>
      </c>
    </row>
    <row r="4" spans="1:12" hidden="1" x14ac:dyDescent="0.35">
      <c r="A4" t="s">
        <v>120</v>
      </c>
      <c r="B4" s="3">
        <v>2199</v>
      </c>
      <c r="C4" s="3">
        <v>2923</v>
      </c>
      <c r="D4" s="3">
        <f t="shared" si="0"/>
        <v>724</v>
      </c>
      <c r="E4" s="1">
        <v>0.25</v>
      </c>
      <c r="F4" s="1" t="str">
        <f t="shared" ref="F4:F66" si="2">IF(E4&lt;20%,"Low Discount",IF(E4&lt;=40%,"Medium Discount","High Discount"))</f>
        <v>Medium Discount</v>
      </c>
      <c r="G4">
        <v>24</v>
      </c>
      <c r="H4">
        <v>4.5999999999999996</v>
      </c>
      <c r="I4" t="str">
        <f t="shared" si="1"/>
        <v>Excellent</v>
      </c>
      <c r="K4" t="s">
        <v>234</v>
      </c>
      <c r="L4" s="4">
        <f>AVERAGE(E2:E113)</f>
        <v>0.36776785714285715</v>
      </c>
    </row>
    <row r="5" spans="1:12" hidden="1" x14ac:dyDescent="0.35">
      <c r="A5" t="s">
        <v>121</v>
      </c>
      <c r="B5" s="3">
        <v>1580</v>
      </c>
      <c r="C5" s="3">
        <v>2499</v>
      </c>
      <c r="D5" s="3">
        <f t="shared" si="0"/>
        <v>919</v>
      </c>
      <c r="E5" s="1">
        <v>0.37</v>
      </c>
      <c r="F5" s="1" t="str">
        <f t="shared" si="2"/>
        <v>Medium Discount</v>
      </c>
      <c r="G5">
        <v>7</v>
      </c>
      <c r="H5">
        <v>4.7</v>
      </c>
      <c r="I5" t="str">
        <f t="shared" si="1"/>
        <v>Excellent</v>
      </c>
      <c r="K5" t="s">
        <v>227</v>
      </c>
      <c r="L5">
        <f>AVERAGE(H2:H113)</f>
        <v>3.8894736842105258</v>
      </c>
    </row>
    <row r="6" spans="1:12" hidden="1" x14ac:dyDescent="0.35">
      <c r="A6" t="s">
        <v>122</v>
      </c>
      <c r="B6" s="3">
        <v>1740</v>
      </c>
      <c r="C6" s="3">
        <v>2356</v>
      </c>
      <c r="D6" s="3">
        <f t="shared" si="0"/>
        <v>616</v>
      </c>
      <c r="E6" s="1">
        <v>0.26</v>
      </c>
      <c r="F6" s="1" t="str">
        <f t="shared" si="2"/>
        <v>Medium Discount</v>
      </c>
      <c r="G6">
        <v>5</v>
      </c>
      <c r="H6">
        <v>4.8</v>
      </c>
      <c r="I6" t="str">
        <f t="shared" si="1"/>
        <v>Excellent</v>
      </c>
    </row>
    <row r="7" spans="1:12" hidden="1" x14ac:dyDescent="0.35">
      <c r="A7" t="s">
        <v>123</v>
      </c>
      <c r="B7" s="3">
        <v>2999</v>
      </c>
      <c r="C7" s="3">
        <v>3290</v>
      </c>
      <c r="D7" s="3">
        <f t="shared" si="0"/>
        <v>291</v>
      </c>
      <c r="E7" s="1">
        <v>0.09</v>
      </c>
      <c r="F7" s="1" t="str">
        <f t="shared" si="2"/>
        <v>Low Discount</v>
      </c>
      <c r="G7">
        <v>15</v>
      </c>
      <c r="H7">
        <v>4</v>
      </c>
      <c r="I7" t="str">
        <f t="shared" si="1"/>
        <v>Average</v>
      </c>
      <c r="K7" t="s">
        <v>235</v>
      </c>
    </row>
    <row r="8" spans="1:12" hidden="1" x14ac:dyDescent="0.35">
      <c r="A8" t="s">
        <v>124</v>
      </c>
      <c r="B8" s="3">
        <v>2319</v>
      </c>
      <c r="C8" s="3">
        <v>3032</v>
      </c>
      <c r="D8" s="3">
        <f t="shared" si="0"/>
        <v>713</v>
      </c>
      <c r="E8" s="1">
        <v>0.24</v>
      </c>
      <c r="F8" s="1" t="str">
        <f t="shared" si="2"/>
        <v>Medium Discount</v>
      </c>
      <c r="G8">
        <v>55</v>
      </c>
      <c r="H8">
        <v>4.5999999999999996</v>
      </c>
      <c r="I8" t="str">
        <f t="shared" si="1"/>
        <v>Excellent</v>
      </c>
      <c r="K8" t="s">
        <v>236</v>
      </c>
      <c r="L8" s="3">
        <f>MAX(B2:B113)</f>
        <v>3750</v>
      </c>
    </row>
    <row r="9" spans="1:12" hidden="1" x14ac:dyDescent="0.35">
      <c r="A9" t="s">
        <v>125</v>
      </c>
      <c r="B9" s="3">
        <v>988</v>
      </c>
      <c r="C9" s="3">
        <v>1580</v>
      </c>
      <c r="D9" s="3">
        <f t="shared" si="0"/>
        <v>592</v>
      </c>
      <c r="E9" s="1">
        <v>0.37</v>
      </c>
      <c r="F9" s="1" t="str">
        <f t="shared" si="2"/>
        <v>Medium Discount</v>
      </c>
      <c r="G9">
        <v>2</v>
      </c>
      <c r="H9">
        <v>4</v>
      </c>
      <c r="I9" t="str">
        <f t="shared" si="1"/>
        <v>Average</v>
      </c>
      <c r="K9" t="s">
        <v>237</v>
      </c>
      <c r="L9" s="3">
        <f>MIN(B2:B113)</f>
        <v>38</v>
      </c>
    </row>
    <row r="10" spans="1:12" hidden="1" x14ac:dyDescent="0.35">
      <c r="A10" t="s">
        <v>126</v>
      </c>
      <c r="B10" s="3">
        <v>1274</v>
      </c>
      <c r="C10" s="3">
        <v>2800</v>
      </c>
      <c r="D10" s="3">
        <f t="shared" si="0"/>
        <v>1526</v>
      </c>
      <c r="E10" s="1">
        <v>0.55000000000000004</v>
      </c>
      <c r="F10" s="1" t="str">
        <f t="shared" si="2"/>
        <v>High Discount</v>
      </c>
      <c r="G10">
        <v>5</v>
      </c>
      <c r="H10">
        <v>4.8</v>
      </c>
      <c r="I10" t="str">
        <f t="shared" si="1"/>
        <v>Excellent</v>
      </c>
    </row>
    <row r="11" spans="1:12" hidden="1" x14ac:dyDescent="0.35">
      <c r="A11" t="s">
        <v>127</v>
      </c>
      <c r="B11" s="3">
        <v>1600</v>
      </c>
      <c r="C11" s="3">
        <v>2929</v>
      </c>
      <c r="D11" s="3">
        <f t="shared" si="0"/>
        <v>1329</v>
      </c>
      <c r="E11" s="1">
        <v>0.45</v>
      </c>
      <c r="F11" s="1" t="str">
        <f t="shared" si="2"/>
        <v>High Discount</v>
      </c>
      <c r="G11">
        <v>5</v>
      </c>
      <c r="H11">
        <v>3.8</v>
      </c>
      <c r="I11" t="str">
        <f t="shared" si="1"/>
        <v>Average</v>
      </c>
    </row>
    <row r="12" spans="1:12" hidden="1" x14ac:dyDescent="0.35">
      <c r="A12" t="s">
        <v>128</v>
      </c>
      <c r="B12" s="3">
        <v>799</v>
      </c>
      <c r="C12" s="3">
        <v>999</v>
      </c>
      <c r="D12" s="3">
        <f t="shared" si="0"/>
        <v>200</v>
      </c>
      <c r="E12" s="1">
        <v>0.2</v>
      </c>
      <c r="F12" s="1" t="str">
        <f t="shared" si="2"/>
        <v>Medium Discount</v>
      </c>
      <c r="G12">
        <v>12</v>
      </c>
      <c r="H12">
        <v>4.0999999999999996</v>
      </c>
      <c r="I12" t="str">
        <f t="shared" si="1"/>
        <v>Good</v>
      </c>
    </row>
    <row r="13" spans="1:12" hidden="1" x14ac:dyDescent="0.35">
      <c r="A13" t="s">
        <v>129</v>
      </c>
      <c r="B13" s="3">
        <v>990</v>
      </c>
      <c r="C13" s="3">
        <v>1500</v>
      </c>
      <c r="D13" s="3">
        <f t="shared" si="0"/>
        <v>510</v>
      </c>
      <c r="E13" s="1">
        <v>0.34</v>
      </c>
      <c r="F13" s="1" t="str">
        <f t="shared" si="2"/>
        <v>Medium Discount</v>
      </c>
      <c r="G13">
        <v>39</v>
      </c>
      <c r="H13">
        <v>4.7</v>
      </c>
      <c r="I13" t="str">
        <f t="shared" si="1"/>
        <v>Excellent</v>
      </c>
    </row>
    <row r="14" spans="1:12" hidden="1" x14ac:dyDescent="0.35">
      <c r="A14" t="s">
        <v>130</v>
      </c>
      <c r="B14" s="3">
        <v>552</v>
      </c>
      <c r="C14" s="3">
        <v>1035</v>
      </c>
      <c r="D14" s="3">
        <f t="shared" si="0"/>
        <v>483</v>
      </c>
      <c r="E14" s="1">
        <v>0.47</v>
      </c>
      <c r="F14" s="1" t="str">
        <f t="shared" si="2"/>
        <v>High Discount</v>
      </c>
      <c r="G14">
        <v>12</v>
      </c>
      <c r="H14">
        <v>4.8</v>
      </c>
      <c r="I14" t="str">
        <f t="shared" si="1"/>
        <v>Excellent</v>
      </c>
    </row>
    <row r="15" spans="1:12" hidden="1" x14ac:dyDescent="0.35">
      <c r="A15" t="s">
        <v>131</v>
      </c>
      <c r="B15" s="3">
        <v>501</v>
      </c>
      <c r="C15" s="3">
        <v>860</v>
      </c>
      <c r="D15" s="3">
        <f t="shared" si="0"/>
        <v>359</v>
      </c>
      <c r="E15" s="1">
        <v>0.42</v>
      </c>
      <c r="F15" s="1" t="str">
        <f t="shared" si="2"/>
        <v>High Discount</v>
      </c>
      <c r="G15">
        <v>6</v>
      </c>
      <c r="H15">
        <v>4.5</v>
      </c>
      <c r="I15" t="str">
        <f t="shared" si="1"/>
        <v>Excellent</v>
      </c>
    </row>
    <row r="16" spans="1:12" hidden="1" x14ac:dyDescent="0.35">
      <c r="A16" t="s">
        <v>132</v>
      </c>
      <c r="B16" s="3">
        <v>1680</v>
      </c>
      <c r="C16" s="3">
        <v>2499</v>
      </c>
      <c r="D16" s="3">
        <f t="shared" si="0"/>
        <v>819</v>
      </c>
      <c r="E16" s="1">
        <v>0.33</v>
      </c>
      <c r="F16" s="1" t="str">
        <f t="shared" si="2"/>
        <v>Medium Discount</v>
      </c>
      <c r="G16">
        <v>9</v>
      </c>
      <c r="H16">
        <v>4.2</v>
      </c>
      <c r="I16" t="str">
        <f t="shared" si="1"/>
        <v>Good</v>
      </c>
    </row>
    <row r="17" spans="1:9" hidden="1" x14ac:dyDescent="0.35">
      <c r="A17" t="s">
        <v>133</v>
      </c>
      <c r="B17" s="3">
        <v>332</v>
      </c>
      <c r="C17" s="3">
        <v>684</v>
      </c>
      <c r="D17" s="3">
        <f t="shared" si="0"/>
        <v>352</v>
      </c>
      <c r="E17" s="1">
        <v>0.51</v>
      </c>
      <c r="F17" s="1" t="str">
        <f t="shared" si="2"/>
        <v>High Discount</v>
      </c>
      <c r="G17">
        <v>2</v>
      </c>
      <c r="H17">
        <v>5</v>
      </c>
      <c r="I17" t="str">
        <f t="shared" si="1"/>
        <v>Excellent</v>
      </c>
    </row>
    <row r="18" spans="1:9" hidden="1" x14ac:dyDescent="0.35">
      <c r="A18" t="s">
        <v>134</v>
      </c>
      <c r="B18" s="3">
        <v>195</v>
      </c>
      <c r="C18" s="3">
        <v>360</v>
      </c>
      <c r="D18" s="3">
        <f t="shared" si="0"/>
        <v>165</v>
      </c>
      <c r="E18" s="1">
        <v>0.46</v>
      </c>
      <c r="F18" s="1" t="str">
        <f t="shared" si="2"/>
        <v>High Discount</v>
      </c>
      <c r="G18">
        <v>2</v>
      </c>
      <c r="H18">
        <v>5</v>
      </c>
      <c r="I18" t="str">
        <f t="shared" si="1"/>
        <v>Excellent</v>
      </c>
    </row>
    <row r="19" spans="1:9" hidden="1" x14ac:dyDescent="0.35">
      <c r="A19" t="s">
        <v>135</v>
      </c>
      <c r="B19" s="3">
        <v>2025</v>
      </c>
      <c r="C19" s="3">
        <v>3971</v>
      </c>
      <c r="D19" s="3">
        <f t="shared" si="0"/>
        <v>1946</v>
      </c>
      <c r="E19" s="1">
        <v>0.49</v>
      </c>
      <c r="F19" s="1" t="str">
        <f t="shared" si="2"/>
        <v>High Discount</v>
      </c>
      <c r="G19">
        <v>3</v>
      </c>
      <c r="H19">
        <v>5</v>
      </c>
      <c r="I19" t="str">
        <f t="shared" si="1"/>
        <v>Excellent</v>
      </c>
    </row>
    <row r="20" spans="1:9" hidden="1" x14ac:dyDescent="0.35">
      <c r="A20" t="s">
        <v>136</v>
      </c>
      <c r="B20" s="3">
        <v>2999</v>
      </c>
      <c r="C20" s="3">
        <v>3699</v>
      </c>
      <c r="D20" s="3">
        <f t="shared" si="0"/>
        <v>700</v>
      </c>
      <c r="E20" s="1">
        <v>0.19</v>
      </c>
      <c r="F20" s="1" t="str">
        <f t="shared" si="2"/>
        <v>Low Discount</v>
      </c>
      <c r="G20">
        <v>5</v>
      </c>
      <c r="H20">
        <v>4.5999999999999996</v>
      </c>
      <c r="I20" t="str">
        <f t="shared" si="1"/>
        <v>Excellent</v>
      </c>
    </row>
    <row r="21" spans="1:9" hidden="1" x14ac:dyDescent="0.35">
      <c r="A21" t="s">
        <v>137</v>
      </c>
      <c r="B21" s="3">
        <v>998</v>
      </c>
      <c r="C21" s="3">
        <v>1966</v>
      </c>
      <c r="D21" s="3">
        <f t="shared" si="0"/>
        <v>968</v>
      </c>
      <c r="E21" s="1">
        <v>0.49</v>
      </c>
      <c r="F21" s="1" t="str">
        <f t="shared" si="2"/>
        <v>High Discount</v>
      </c>
      <c r="G21">
        <v>44</v>
      </c>
      <c r="H21">
        <v>4.5999999999999996</v>
      </c>
      <c r="I21" t="str">
        <f t="shared" si="1"/>
        <v>Excellent</v>
      </c>
    </row>
    <row r="22" spans="1:9" hidden="1" x14ac:dyDescent="0.35">
      <c r="A22" t="s">
        <v>138</v>
      </c>
      <c r="B22" s="3">
        <v>38</v>
      </c>
      <c r="C22" s="3">
        <v>80</v>
      </c>
      <c r="D22" s="3">
        <f t="shared" si="0"/>
        <v>42</v>
      </c>
      <c r="E22" s="1">
        <v>0.53</v>
      </c>
      <c r="F22" s="1" t="str">
        <f t="shared" si="2"/>
        <v>High Discount</v>
      </c>
      <c r="G22">
        <v>13</v>
      </c>
      <c r="H22">
        <v>3.3</v>
      </c>
      <c r="I22" t="str">
        <f>IF(ISBLANK(H22),"Unknown",IF(H22&lt;3,"Poor", IF(H22&lt;=4,"Average", IF(H22&lt;4.5,"Good","Excellent"))))</f>
        <v>Average</v>
      </c>
    </row>
    <row r="23" spans="1:9" hidden="1" x14ac:dyDescent="0.35">
      <c r="A23" t="s">
        <v>139</v>
      </c>
      <c r="B23" s="3">
        <v>1860</v>
      </c>
      <c r="C23" s="3">
        <v>3220</v>
      </c>
      <c r="D23" s="3">
        <f t="shared" si="0"/>
        <v>1360</v>
      </c>
      <c r="E23" s="1">
        <v>0.42</v>
      </c>
      <c r="F23" s="1" t="str">
        <f t="shared" si="2"/>
        <v>High Discount</v>
      </c>
      <c r="I23" t="str">
        <f t="shared" si="1"/>
        <v>Unknown</v>
      </c>
    </row>
    <row r="24" spans="1:9" hidden="1" x14ac:dyDescent="0.35">
      <c r="A24" t="s">
        <v>140</v>
      </c>
      <c r="B24" s="3">
        <v>880</v>
      </c>
      <c r="C24" s="3">
        <v>1350</v>
      </c>
      <c r="D24" s="3">
        <f t="shared" si="0"/>
        <v>470</v>
      </c>
      <c r="E24" s="1">
        <v>0.35</v>
      </c>
      <c r="F24" s="1" t="str">
        <f t="shared" si="2"/>
        <v>Medium Discount</v>
      </c>
      <c r="G24">
        <v>6</v>
      </c>
      <c r="H24">
        <v>4</v>
      </c>
      <c r="I24" t="str">
        <f t="shared" si="1"/>
        <v>Average</v>
      </c>
    </row>
    <row r="25" spans="1:9" hidden="1" x14ac:dyDescent="0.35">
      <c r="A25" t="s">
        <v>141</v>
      </c>
      <c r="B25" s="3">
        <v>1650</v>
      </c>
      <c r="C25" s="3">
        <v>2150</v>
      </c>
      <c r="D25" s="3">
        <f t="shared" si="0"/>
        <v>500</v>
      </c>
      <c r="E25" s="1">
        <v>0.23</v>
      </c>
      <c r="F25" s="1" t="str">
        <f t="shared" si="2"/>
        <v>Medium Discount</v>
      </c>
      <c r="G25">
        <v>14</v>
      </c>
      <c r="H25">
        <v>4.4000000000000004</v>
      </c>
      <c r="I25" t="str">
        <f t="shared" si="1"/>
        <v>Good</v>
      </c>
    </row>
    <row r="26" spans="1:9" hidden="1" x14ac:dyDescent="0.35">
      <c r="A26" t="s">
        <v>142</v>
      </c>
      <c r="B26" s="3">
        <v>2048</v>
      </c>
      <c r="C26" s="3">
        <v>4500</v>
      </c>
      <c r="D26" s="3">
        <f t="shared" si="0"/>
        <v>2452</v>
      </c>
      <c r="E26" s="1">
        <v>0.54</v>
      </c>
      <c r="F26" s="1" t="str">
        <f t="shared" si="2"/>
        <v>High Discount</v>
      </c>
      <c r="G26">
        <v>7</v>
      </c>
      <c r="H26">
        <v>4.3</v>
      </c>
      <c r="I26" t="str">
        <f t="shared" si="1"/>
        <v>Good</v>
      </c>
    </row>
    <row r="27" spans="1:9" hidden="1" x14ac:dyDescent="0.35">
      <c r="A27" t="s">
        <v>143</v>
      </c>
      <c r="B27" s="3">
        <v>420</v>
      </c>
      <c r="C27" s="3">
        <v>647</v>
      </c>
      <c r="D27" s="3">
        <f t="shared" si="0"/>
        <v>227</v>
      </c>
      <c r="E27" s="1">
        <v>0.35</v>
      </c>
      <c r="F27" s="1" t="str">
        <f t="shared" si="2"/>
        <v>Medium Discount</v>
      </c>
      <c r="G27">
        <v>49</v>
      </c>
      <c r="H27">
        <v>4.5999999999999996</v>
      </c>
      <c r="I27" t="str">
        <f t="shared" si="1"/>
        <v>Excellent</v>
      </c>
    </row>
    <row r="28" spans="1:9" hidden="1" x14ac:dyDescent="0.35">
      <c r="A28" t="s">
        <v>144</v>
      </c>
      <c r="B28" s="3">
        <v>2880</v>
      </c>
      <c r="C28" s="3">
        <v>3520</v>
      </c>
      <c r="D28" s="3">
        <f t="shared" si="0"/>
        <v>640</v>
      </c>
      <c r="E28" s="1">
        <v>0.18</v>
      </c>
      <c r="F28" s="1" t="str">
        <f t="shared" si="2"/>
        <v>Low Discount</v>
      </c>
      <c r="G28">
        <v>12</v>
      </c>
      <c r="H28">
        <v>3.8</v>
      </c>
      <c r="I28" t="str">
        <f t="shared" si="1"/>
        <v>Average</v>
      </c>
    </row>
    <row r="29" spans="1:9" hidden="1" x14ac:dyDescent="0.35">
      <c r="A29" t="s">
        <v>145</v>
      </c>
      <c r="B29" s="3">
        <v>1350</v>
      </c>
      <c r="C29" s="3">
        <v>1990</v>
      </c>
      <c r="D29" s="3">
        <f t="shared" si="0"/>
        <v>640</v>
      </c>
      <c r="E29" s="1">
        <v>0.32</v>
      </c>
      <c r="F29" s="1" t="str">
        <f t="shared" si="2"/>
        <v>Medium Discount</v>
      </c>
      <c r="G29">
        <v>13</v>
      </c>
      <c r="H29">
        <v>3.8</v>
      </c>
      <c r="I29" t="str">
        <f t="shared" si="1"/>
        <v>Average</v>
      </c>
    </row>
    <row r="30" spans="1:9" hidden="1" x14ac:dyDescent="0.35">
      <c r="A30" t="s">
        <v>146</v>
      </c>
      <c r="B30" s="3">
        <v>1758</v>
      </c>
      <c r="C30" s="3">
        <v>2499</v>
      </c>
      <c r="D30" s="3">
        <f t="shared" si="0"/>
        <v>741</v>
      </c>
      <c r="E30" s="1">
        <v>0.3</v>
      </c>
      <c r="F30" s="1" t="str">
        <f t="shared" si="2"/>
        <v>Medium Discount</v>
      </c>
      <c r="G30">
        <v>20</v>
      </c>
      <c r="H30">
        <v>4.0999999999999996</v>
      </c>
      <c r="I30" t="str">
        <f t="shared" si="1"/>
        <v>Good</v>
      </c>
    </row>
    <row r="31" spans="1:9" hidden="1" x14ac:dyDescent="0.35">
      <c r="A31" t="s">
        <v>147</v>
      </c>
      <c r="B31" s="3">
        <v>2200</v>
      </c>
      <c r="C31" s="3">
        <v>4080</v>
      </c>
      <c r="D31" s="3">
        <f t="shared" si="0"/>
        <v>1880</v>
      </c>
      <c r="E31" s="1">
        <v>0.46</v>
      </c>
      <c r="F31" s="1" t="str">
        <f t="shared" si="2"/>
        <v>High Discount</v>
      </c>
      <c r="I31" t="str">
        <f t="shared" si="1"/>
        <v>Unknown</v>
      </c>
    </row>
    <row r="32" spans="1:9" hidden="1" x14ac:dyDescent="0.35">
      <c r="A32" t="s">
        <v>148</v>
      </c>
      <c r="B32" s="3">
        <v>185</v>
      </c>
      <c r="C32" s="3">
        <v>382</v>
      </c>
      <c r="D32" s="3">
        <f t="shared" si="0"/>
        <v>197</v>
      </c>
      <c r="E32" s="1">
        <v>0.52</v>
      </c>
      <c r="F32" s="1" t="str">
        <f t="shared" si="2"/>
        <v>High Discount</v>
      </c>
      <c r="G32">
        <v>9</v>
      </c>
      <c r="H32">
        <v>4.3</v>
      </c>
      <c r="I32" t="str">
        <f t="shared" si="1"/>
        <v>Good</v>
      </c>
    </row>
    <row r="33" spans="1:9" hidden="1" x14ac:dyDescent="0.35">
      <c r="A33" t="s">
        <v>149</v>
      </c>
      <c r="B33" s="3">
        <v>980</v>
      </c>
      <c r="C33" s="3">
        <v>1490</v>
      </c>
      <c r="D33" s="3">
        <f t="shared" si="0"/>
        <v>510</v>
      </c>
      <c r="E33" s="1">
        <v>0.34</v>
      </c>
      <c r="F33" s="1" t="str">
        <f t="shared" si="2"/>
        <v>Medium Discount</v>
      </c>
      <c r="G33">
        <v>12</v>
      </c>
      <c r="H33">
        <v>4.7</v>
      </c>
      <c r="I33" t="str">
        <f t="shared" si="1"/>
        <v>Excellent</v>
      </c>
    </row>
    <row r="34" spans="1:9" hidden="1" x14ac:dyDescent="0.35">
      <c r="A34" t="s">
        <v>150</v>
      </c>
      <c r="B34" s="3">
        <v>1820</v>
      </c>
      <c r="C34" s="3">
        <v>3490</v>
      </c>
      <c r="D34" s="3">
        <f t="shared" si="0"/>
        <v>1670</v>
      </c>
      <c r="E34" s="1">
        <v>0.48</v>
      </c>
      <c r="F34" s="1" t="str">
        <f t="shared" si="2"/>
        <v>High Discount</v>
      </c>
      <c r="G34">
        <v>9</v>
      </c>
      <c r="H34">
        <v>4.3</v>
      </c>
      <c r="I34" t="str">
        <f t="shared" si="1"/>
        <v>Good</v>
      </c>
    </row>
    <row r="35" spans="1:9" hidden="1" x14ac:dyDescent="0.35">
      <c r="A35" t="s">
        <v>151</v>
      </c>
      <c r="B35" s="3">
        <v>1940</v>
      </c>
      <c r="C35" s="3">
        <v>2650</v>
      </c>
      <c r="D35" s="3">
        <f t="shared" si="0"/>
        <v>710</v>
      </c>
      <c r="E35" s="1">
        <v>0.27</v>
      </c>
      <c r="F35" s="1" t="str">
        <f t="shared" si="2"/>
        <v>Medium Discount</v>
      </c>
      <c r="G35">
        <v>20</v>
      </c>
      <c r="H35">
        <v>4.7</v>
      </c>
      <c r="I35" t="str">
        <f t="shared" si="1"/>
        <v>Excellent</v>
      </c>
    </row>
    <row r="36" spans="1:9" hidden="1" x14ac:dyDescent="0.35">
      <c r="A36" t="s">
        <v>152</v>
      </c>
      <c r="B36" s="3">
        <v>1980</v>
      </c>
      <c r="C36" s="3">
        <v>2699</v>
      </c>
      <c r="D36" s="3">
        <f t="shared" si="0"/>
        <v>719</v>
      </c>
      <c r="E36" s="1">
        <v>0.27</v>
      </c>
      <c r="F36" s="1" t="str">
        <f t="shared" si="2"/>
        <v>Medium Discount</v>
      </c>
      <c r="G36">
        <v>32</v>
      </c>
      <c r="H36">
        <v>4.5</v>
      </c>
      <c r="I36" t="str">
        <f t="shared" si="1"/>
        <v>Excellent</v>
      </c>
    </row>
    <row r="37" spans="1:9" hidden="1" x14ac:dyDescent="0.35">
      <c r="A37" t="s">
        <v>153</v>
      </c>
      <c r="B37" s="3">
        <v>1620</v>
      </c>
      <c r="C37" s="3">
        <v>2690</v>
      </c>
      <c r="D37" s="3">
        <f t="shared" si="0"/>
        <v>1070</v>
      </c>
      <c r="E37" s="1">
        <v>0.4</v>
      </c>
      <c r="F37" s="1" t="str">
        <f t="shared" si="2"/>
        <v>Medium Discount</v>
      </c>
      <c r="G37">
        <v>1</v>
      </c>
      <c r="H37">
        <v>5</v>
      </c>
      <c r="I37" t="str">
        <f t="shared" si="1"/>
        <v>Excellent</v>
      </c>
    </row>
    <row r="38" spans="1:9" hidden="1" x14ac:dyDescent="0.35">
      <c r="A38" t="s">
        <v>154</v>
      </c>
      <c r="B38" s="3">
        <v>171</v>
      </c>
      <c r="C38" s="3">
        <v>360</v>
      </c>
      <c r="D38" s="3">
        <f t="shared" si="0"/>
        <v>189</v>
      </c>
      <c r="E38" s="1">
        <v>0.53</v>
      </c>
      <c r="F38" s="1" t="str">
        <f t="shared" si="2"/>
        <v>High Discount</v>
      </c>
      <c r="G38">
        <v>2</v>
      </c>
      <c r="H38">
        <v>5</v>
      </c>
      <c r="I38" t="str">
        <f t="shared" si="1"/>
        <v>Excellent</v>
      </c>
    </row>
    <row r="39" spans="1:9" hidden="1" x14ac:dyDescent="0.35">
      <c r="A39" t="s">
        <v>155</v>
      </c>
      <c r="B39" s="3">
        <v>389</v>
      </c>
      <c r="C39" s="3">
        <v>656</v>
      </c>
      <c r="D39" s="3">
        <f t="shared" si="0"/>
        <v>267</v>
      </c>
      <c r="E39" s="1">
        <v>0.41</v>
      </c>
      <c r="F39" s="1" t="str">
        <f t="shared" si="2"/>
        <v>High Discount</v>
      </c>
      <c r="G39">
        <v>36</v>
      </c>
      <c r="H39">
        <v>4.3</v>
      </c>
      <c r="I39" t="str">
        <f t="shared" si="1"/>
        <v>Good</v>
      </c>
    </row>
    <row r="40" spans="1:9" hidden="1" x14ac:dyDescent="0.35">
      <c r="A40" t="s">
        <v>156</v>
      </c>
      <c r="B40" s="3">
        <v>1800</v>
      </c>
      <c r="C40" s="3">
        <v>2700</v>
      </c>
      <c r="D40" s="3">
        <f t="shared" si="0"/>
        <v>900</v>
      </c>
      <c r="E40" s="1">
        <v>0.38</v>
      </c>
      <c r="F40" s="1" t="str">
        <f t="shared" si="2"/>
        <v>Medium Discount</v>
      </c>
      <c r="G40">
        <v>2</v>
      </c>
      <c r="H40">
        <v>4.5</v>
      </c>
      <c r="I40" t="str">
        <f t="shared" si="1"/>
        <v>Excellent</v>
      </c>
    </row>
    <row r="41" spans="1:9" hidden="1" x14ac:dyDescent="0.35">
      <c r="A41" t="s">
        <v>157</v>
      </c>
      <c r="B41" s="3">
        <v>2750</v>
      </c>
      <c r="C41" s="3">
        <v>4471</v>
      </c>
      <c r="D41" s="3">
        <f t="shared" si="0"/>
        <v>1721</v>
      </c>
      <c r="E41" s="1">
        <v>0.38</v>
      </c>
      <c r="F41" s="1" t="str">
        <f t="shared" si="2"/>
        <v>Medium Discount</v>
      </c>
      <c r="I41" t="str">
        <f t="shared" si="1"/>
        <v>Unknown</v>
      </c>
    </row>
    <row r="42" spans="1:9" hidden="1" x14ac:dyDescent="0.35">
      <c r="A42" t="s">
        <v>158</v>
      </c>
      <c r="B42" s="3">
        <v>475</v>
      </c>
      <c r="C42" s="3">
        <v>931</v>
      </c>
      <c r="D42" s="3">
        <f t="shared" si="0"/>
        <v>456</v>
      </c>
      <c r="E42" s="1">
        <v>0.49</v>
      </c>
      <c r="F42" s="1" t="str">
        <f t="shared" si="2"/>
        <v>High Discount</v>
      </c>
      <c r="G42" s="3"/>
      <c r="I42" t="str">
        <f t="shared" si="1"/>
        <v>Unknown</v>
      </c>
    </row>
    <row r="43" spans="1:9" hidden="1" x14ac:dyDescent="0.35">
      <c r="A43" t="s">
        <v>159</v>
      </c>
      <c r="B43" s="3">
        <v>238</v>
      </c>
      <c r="C43" s="3">
        <v>476</v>
      </c>
      <c r="D43" s="3">
        <f t="shared" si="0"/>
        <v>238</v>
      </c>
      <c r="E43" s="1">
        <v>0.5</v>
      </c>
      <c r="F43" s="1" t="str">
        <f t="shared" si="2"/>
        <v>High Discount</v>
      </c>
      <c r="I43" t="str">
        <f t="shared" si="1"/>
        <v>Unknown</v>
      </c>
    </row>
    <row r="44" spans="1:9" hidden="1" x14ac:dyDescent="0.35">
      <c r="A44" t="s">
        <v>160</v>
      </c>
      <c r="B44" s="3">
        <v>610</v>
      </c>
      <c r="C44" s="3">
        <v>1060</v>
      </c>
      <c r="D44" s="3">
        <f t="shared" si="0"/>
        <v>450</v>
      </c>
      <c r="E44" s="1">
        <v>0.42</v>
      </c>
      <c r="F44" s="1" t="str">
        <f t="shared" si="2"/>
        <v>High Discount</v>
      </c>
      <c r="I44" t="str">
        <f t="shared" si="1"/>
        <v>Unknown</v>
      </c>
    </row>
    <row r="45" spans="1:9" hidden="1" x14ac:dyDescent="0.35">
      <c r="A45" t="s">
        <v>161</v>
      </c>
      <c r="B45" s="3">
        <v>2132</v>
      </c>
      <c r="C45" s="3">
        <v>2169</v>
      </c>
      <c r="D45" s="3">
        <f t="shared" si="0"/>
        <v>37</v>
      </c>
      <c r="E45" s="1">
        <v>0.02</v>
      </c>
      <c r="F45" s="1" t="str">
        <f t="shared" si="2"/>
        <v>Low Discount</v>
      </c>
      <c r="I45" t="str">
        <f t="shared" si="1"/>
        <v>Unknown</v>
      </c>
    </row>
    <row r="46" spans="1:9" hidden="1" x14ac:dyDescent="0.35">
      <c r="A46" t="s">
        <v>162</v>
      </c>
      <c r="B46" s="3">
        <v>999</v>
      </c>
      <c r="C46" s="3">
        <v>2000</v>
      </c>
      <c r="D46" s="3">
        <f t="shared" si="0"/>
        <v>1001</v>
      </c>
      <c r="E46" s="1">
        <v>0.5</v>
      </c>
      <c r="F46" s="1" t="str">
        <f t="shared" si="2"/>
        <v>High Discount</v>
      </c>
      <c r="I46" t="str">
        <f t="shared" si="1"/>
        <v>Unknown</v>
      </c>
    </row>
    <row r="47" spans="1:9" hidden="1" x14ac:dyDescent="0.35">
      <c r="A47" t="s">
        <v>163</v>
      </c>
      <c r="B47" s="3">
        <v>1190</v>
      </c>
      <c r="C47" s="3">
        <v>1785</v>
      </c>
      <c r="D47" s="3">
        <f t="shared" si="0"/>
        <v>595</v>
      </c>
      <c r="E47" s="1">
        <v>0.33</v>
      </c>
      <c r="F47" s="1" t="str">
        <f t="shared" si="2"/>
        <v>Medium Discount</v>
      </c>
      <c r="I47" t="str">
        <f t="shared" si="1"/>
        <v>Unknown</v>
      </c>
    </row>
    <row r="48" spans="1:9" hidden="1" x14ac:dyDescent="0.35">
      <c r="A48" t="s">
        <v>164</v>
      </c>
      <c r="B48" s="3">
        <v>671</v>
      </c>
      <c r="C48" s="3">
        <v>1316</v>
      </c>
      <c r="D48" s="3">
        <f t="shared" si="0"/>
        <v>645</v>
      </c>
      <c r="E48" s="1">
        <v>0.49</v>
      </c>
      <c r="F48" s="1" t="str">
        <f t="shared" si="2"/>
        <v>High Discount</v>
      </c>
      <c r="I48" t="str">
        <f t="shared" si="1"/>
        <v>Unknown</v>
      </c>
    </row>
    <row r="49" spans="1:9" hidden="1" x14ac:dyDescent="0.35">
      <c r="A49" t="s">
        <v>165</v>
      </c>
      <c r="B49" s="3">
        <v>1200</v>
      </c>
      <c r="C49" s="3">
        <v>1950</v>
      </c>
      <c r="D49" s="3">
        <f t="shared" si="0"/>
        <v>750</v>
      </c>
      <c r="E49" s="1">
        <v>0.38</v>
      </c>
      <c r="F49" s="1" t="str">
        <f t="shared" si="2"/>
        <v>Medium Discount</v>
      </c>
      <c r="I49" t="str">
        <f t="shared" si="1"/>
        <v>Unknown</v>
      </c>
    </row>
    <row r="50" spans="1:9" hidden="1" x14ac:dyDescent="0.35">
      <c r="A50" t="s">
        <v>166</v>
      </c>
      <c r="B50" s="3">
        <v>199</v>
      </c>
      <c r="C50" s="3">
        <v>504</v>
      </c>
      <c r="D50" s="3">
        <f t="shared" si="0"/>
        <v>305</v>
      </c>
      <c r="E50" s="1">
        <v>0.61</v>
      </c>
      <c r="F50" s="1" t="str">
        <f t="shared" si="2"/>
        <v>High Discount</v>
      </c>
      <c r="I50" t="str">
        <f t="shared" si="1"/>
        <v>Unknown</v>
      </c>
    </row>
    <row r="51" spans="1:9" hidden="1" x14ac:dyDescent="0.35">
      <c r="A51" t="s">
        <v>167</v>
      </c>
      <c r="B51" s="3">
        <v>299</v>
      </c>
      <c r="C51" s="3">
        <v>600</v>
      </c>
      <c r="D51" s="3">
        <f t="shared" si="0"/>
        <v>301</v>
      </c>
      <c r="E51" s="1">
        <v>0.5</v>
      </c>
      <c r="F51" s="1" t="str">
        <f t="shared" si="2"/>
        <v>High Discount</v>
      </c>
      <c r="I51" t="str">
        <f t="shared" si="1"/>
        <v>Unknown</v>
      </c>
    </row>
    <row r="52" spans="1:9" hidden="1" x14ac:dyDescent="0.35">
      <c r="A52" t="s">
        <v>168</v>
      </c>
      <c r="B52" s="3">
        <v>1660</v>
      </c>
      <c r="C52" s="3">
        <v>1699</v>
      </c>
      <c r="D52" s="3">
        <f t="shared" si="0"/>
        <v>39</v>
      </c>
      <c r="E52" s="1">
        <v>0.02</v>
      </c>
      <c r="F52" s="1" t="str">
        <f t="shared" si="2"/>
        <v>Low Discount</v>
      </c>
      <c r="I52" t="str">
        <f t="shared" si="1"/>
        <v>Unknown</v>
      </c>
    </row>
    <row r="53" spans="1:9" hidden="1" x14ac:dyDescent="0.35">
      <c r="A53" t="s">
        <v>169</v>
      </c>
      <c r="B53" s="3">
        <v>299</v>
      </c>
      <c r="C53" s="3">
        <v>384</v>
      </c>
      <c r="D53" s="3">
        <f t="shared" si="0"/>
        <v>85</v>
      </c>
      <c r="E53" s="1">
        <v>0.22</v>
      </c>
      <c r="F53" s="1" t="str">
        <f t="shared" si="2"/>
        <v>Medium Discount</v>
      </c>
      <c r="I53" t="str">
        <f t="shared" si="1"/>
        <v>Unknown</v>
      </c>
    </row>
    <row r="54" spans="1:9" hidden="1" x14ac:dyDescent="0.35">
      <c r="A54" t="s">
        <v>170</v>
      </c>
      <c r="B54" s="3">
        <v>1459</v>
      </c>
      <c r="C54" s="3">
        <v>1499</v>
      </c>
      <c r="D54" s="3">
        <f t="shared" si="0"/>
        <v>40</v>
      </c>
      <c r="E54" s="1">
        <v>0.03</v>
      </c>
      <c r="F54" s="1" t="str">
        <f t="shared" si="2"/>
        <v>Low Discount</v>
      </c>
      <c r="I54" t="str">
        <f t="shared" si="1"/>
        <v>Unknown</v>
      </c>
    </row>
    <row r="55" spans="1:9" hidden="1" x14ac:dyDescent="0.35">
      <c r="A55" t="s">
        <v>171</v>
      </c>
      <c r="B55" s="3">
        <v>799</v>
      </c>
      <c r="C55" s="3">
        <v>1343</v>
      </c>
      <c r="D55" s="3">
        <f t="shared" si="0"/>
        <v>544</v>
      </c>
      <c r="E55" s="1">
        <v>0.41</v>
      </c>
      <c r="F55" s="1" t="str">
        <f t="shared" si="2"/>
        <v>High Discount</v>
      </c>
      <c r="I55" t="str">
        <f t="shared" si="1"/>
        <v>Unknown</v>
      </c>
    </row>
    <row r="56" spans="1:9" hidden="1" x14ac:dyDescent="0.35">
      <c r="A56" t="s">
        <v>172</v>
      </c>
      <c r="B56" s="3">
        <v>499</v>
      </c>
      <c r="C56" s="3">
        <v>900</v>
      </c>
      <c r="D56" s="3">
        <f t="shared" si="0"/>
        <v>401</v>
      </c>
      <c r="E56" s="1">
        <v>0.45</v>
      </c>
      <c r="F56" s="1" t="str">
        <f t="shared" si="2"/>
        <v>High Discount</v>
      </c>
      <c r="I56" t="str">
        <f t="shared" si="1"/>
        <v>Unknown</v>
      </c>
    </row>
    <row r="57" spans="1:9" hidden="1" x14ac:dyDescent="0.35">
      <c r="A57" t="s">
        <v>173</v>
      </c>
      <c r="B57" s="3">
        <v>699</v>
      </c>
      <c r="C57" s="3">
        <v>1343</v>
      </c>
      <c r="D57" s="3">
        <f t="shared" si="0"/>
        <v>644</v>
      </c>
      <c r="E57" s="1">
        <v>0.48</v>
      </c>
      <c r="F57" s="1" t="str">
        <f t="shared" si="2"/>
        <v>High Discount</v>
      </c>
      <c r="I57" t="str">
        <f t="shared" si="1"/>
        <v>Unknown</v>
      </c>
    </row>
    <row r="58" spans="1:9" hidden="1" x14ac:dyDescent="0.35">
      <c r="A58" t="s">
        <v>174</v>
      </c>
      <c r="B58" s="3">
        <v>799</v>
      </c>
      <c r="C58" s="3">
        <v>1567</v>
      </c>
      <c r="D58" s="3">
        <f t="shared" si="0"/>
        <v>768</v>
      </c>
      <c r="E58" s="1">
        <v>0.49</v>
      </c>
      <c r="F58" s="1" t="str">
        <f t="shared" si="2"/>
        <v>High Discount</v>
      </c>
      <c r="I58" t="str">
        <f t="shared" si="1"/>
        <v>Unknown</v>
      </c>
    </row>
    <row r="59" spans="1:9" hidden="1" x14ac:dyDescent="0.35">
      <c r="A59" t="s">
        <v>175</v>
      </c>
      <c r="B59" s="3">
        <v>2799</v>
      </c>
      <c r="C59" s="3">
        <v>3810</v>
      </c>
      <c r="D59" s="3">
        <f t="shared" si="0"/>
        <v>1011</v>
      </c>
      <c r="E59" s="1">
        <v>0.27</v>
      </c>
      <c r="F59" s="1" t="str">
        <f t="shared" si="2"/>
        <v>Medium Discount</v>
      </c>
      <c r="I59" t="str">
        <f t="shared" si="1"/>
        <v>Unknown</v>
      </c>
    </row>
    <row r="60" spans="1:9" hidden="1" x14ac:dyDescent="0.35">
      <c r="A60" t="s">
        <v>172</v>
      </c>
      <c r="B60" s="3">
        <v>399</v>
      </c>
      <c r="C60" s="3">
        <v>896</v>
      </c>
      <c r="D60" s="3">
        <f t="shared" si="0"/>
        <v>497</v>
      </c>
      <c r="E60" s="1">
        <v>0.55000000000000004</v>
      </c>
      <c r="F60" s="1" t="str">
        <f t="shared" si="2"/>
        <v>High Discount</v>
      </c>
      <c r="I60" t="str">
        <f t="shared" si="1"/>
        <v>Unknown</v>
      </c>
    </row>
    <row r="61" spans="1:9" x14ac:dyDescent="0.35">
      <c r="A61" t="s">
        <v>176</v>
      </c>
      <c r="B61" s="3">
        <v>2170</v>
      </c>
      <c r="C61" s="3">
        <v>2500</v>
      </c>
      <c r="D61" s="3">
        <f t="shared" si="0"/>
        <v>330</v>
      </c>
      <c r="E61" s="1">
        <v>0.13</v>
      </c>
      <c r="F61" s="1" t="str">
        <f t="shared" si="2"/>
        <v>Low Discount</v>
      </c>
      <c r="G61">
        <v>6</v>
      </c>
      <c r="H61">
        <v>2.5</v>
      </c>
      <c r="I61" t="str">
        <f t="shared" si="1"/>
        <v>Poor</v>
      </c>
    </row>
    <row r="62" spans="1:9" hidden="1" x14ac:dyDescent="0.35">
      <c r="A62" t="s">
        <v>177</v>
      </c>
      <c r="B62" s="3">
        <v>458</v>
      </c>
      <c r="C62" s="3">
        <v>986</v>
      </c>
      <c r="D62" s="3">
        <f t="shared" si="0"/>
        <v>528</v>
      </c>
      <c r="E62" s="1">
        <v>0.54</v>
      </c>
      <c r="F62" s="1" t="str">
        <f t="shared" si="2"/>
        <v>High Discount</v>
      </c>
      <c r="G62">
        <v>10</v>
      </c>
      <c r="H62">
        <v>3</v>
      </c>
      <c r="I62" t="str">
        <f t="shared" si="1"/>
        <v>Average</v>
      </c>
    </row>
    <row r="63" spans="1:9" x14ac:dyDescent="0.35">
      <c r="A63" t="s">
        <v>178</v>
      </c>
      <c r="B63" s="3">
        <v>2115</v>
      </c>
      <c r="C63" s="3">
        <v>4700</v>
      </c>
      <c r="D63" s="3">
        <f t="shared" si="0"/>
        <v>2585</v>
      </c>
      <c r="E63" s="1">
        <v>0.55000000000000004</v>
      </c>
      <c r="F63" s="1" t="str">
        <f t="shared" si="2"/>
        <v>High Discount</v>
      </c>
      <c r="G63">
        <v>13</v>
      </c>
      <c r="H63">
        <v>2.1</v>
      </c>
      <c r="I63" t="str">
        <f t="shared" si="1"/>
        <v>Poor</v>
      </c>
    </row>
    <row r="64" spans="1:9" x14ac:dyDescent="0.35">
      <c r="A64" t="s">
        <v>179</v>
      </c>
      <c r="B64" s="3">
        <v>445</v>
      </c>
      <c r="C64" s="3">
        <v>873</v>
      </c>
      <c r="D64" s="3">
        <f t="shared" si="0"/>
        <v>428</v>
      </c>
      <c r="E64" s="1">
        <v>0.49</v>
      </c>
      <c r="F64" s="1" t="str">
        <f t="shared" si="2"/>
        <v>High Discount</v>
      </c>
      <c r="G64">
        <v>69</v>
      </c>
      <c r="H64">
        <v>2.8</v>
      </c>
      <c r="I64" t="str">
        <f t="shared" si="1"/>
        <v>Poor</v>
      </c>
    </row>
    <row r="65" spans="1:9" x14ac:dyDescent="0.35">
      <c r="A65" t="s">
        <v>180</v>
      </c>
      <c r="B65" s="3">
        <v>325</v>
      </c>
      <c r="C65" s="3">
        <v>680</v>
      </c>
      <c r="D65" s="3">
        <f t="shared" si="0"/>
        <v>355</v>
      </c>
      <c r="E65" s="1">
        <v>0.52</v>
      </c>
      <c r="F65" s="1" t="str">
        <f t="shared" si="2"/>
        <v>High Discount</v>
      </c>
      <c r="G65">
        <v>15</v>
      </c>
      <c r="H65">
        <v>2.7</v>
      </c>
      <c r="I65" t="str">
        <f t="shared" si="1"/>
        <v>Poor</v>
      </c>
    </row>
    <row r="66" spans="1:9" x14ac:dyDescent="0.35">
      <c r="A66" t="s">
        <v>181</v>
      </c>
      <c r="B66" s="3">
        <v>1220</v>
      </c>
      <c r="C66" s="3">
        <v>1555</v>
      </c>
      <c r="D66" s="3">
        <f t="shared" si="0"/>
        <v>335</v>
      </c>
      <c r="E66" s="1">
        <v>0.22</v>
      </c>
      <c r="F66" s="1" t="str">
        <f t="shared" si="2"/>
        <v>Medium Discount</v>
      </c>
      <c r="G66">
        <v>16</v>
      </c>
      <c r="H66">
        <v>2.9</v>
      </c>
      <c r="I66" t="str">
        <f t="shared" si="1"/>
        <v>Poor</v>
      </c>
    </row>
    <row r="67" spans="1:9" x14ac:dyDescent="0.35">
      <c r="A67" t="s">
        <v>182</v>
      </c>
      <c r="B67" s="3">
        <v>990</v>
      </c>
      <c r="C67" s="3">
        <v>1814</v>
      </c>
      <c r="D67" s="3">
        <f t="shared" ref="D67:D113" si="3">C67-B67</f>
        <v>824</v>
      </c>
      <c r="E67" s="1">
        <v>0.45</v>
      </c>
      <c r="F67" s="1" t="str">
        <f t="shared" ref="F67:F113" si="4">IF(E67&lt;20%,"Low Discount",IF(E67&lt;=40%,"Medium Discount","High Discount"))</f>
        <v>High Discount</v>
      </c>
      <c r="G67">
        <v>6</v>
      </c>
      <c r="H67">
        <v>2.2000000000000002</v>
      </c>
      <c r="I67" t="str">
        <f t="shared" ref="I67:I113" si="5">IF(ISBLANK(H67),"Unknown",IF(H67&lt;3,"Poor", IF(H67&lt;=4,"Average", IF(H67&lt;4.5,"Good","Excellent"))))</f>
        <v>Poor</v>
      </c>
    </row>
    <row r="68" spans="1:9" x14ac:dyDescent="0.35">
      <c r="A68" t="s">
        <v>183</v>
      </c>
      <c r="B68" s="3">
        <v>1000</v>
      </c>
      <c r="C68" s="3">
        <v>2000</v>
      </c>
      <c r="D68" s="3">
        <f t="shared" si="3"/>
        <v>1000</v>
      </c>
      <c r="E68" s="1">
        <v>0.5</v>
      </c>
      <c r="F68" s="1" t="str">
        <f t="shared" si="4"/>
        <v>High Discount</v>
      </c>
      <c r="G68">
        <v>7</v>
      </c>
      <c r="H68">
        <v>2.2999999999999998</v>
      </c>
      <c r="I68" t="str">
        <f t="shared" si="5"/>
        <v>Poor</v>
      </c>
    </row>
    <row r="69" spans="1:9" hidden="1" x14ac:dyDescent="0.35">
      <c r="A69" t="s">
        <v>184</v>
      </c>
      <c r="B69" s="3">
        <v>3750</v>
      </c>
      <c r="C69" s="3">
        <v>6143</v>
      </c>
      <c r="D69" s="3">
        <f t="shared" si="3"/>
        <v>2393</v>
      </c>
      <c r="E69" s="1">
        <v>0.39</v>
      </c>
      <c r="F69" s="1" t="str">
        <f t="shared" si="4"/>
        <v>Medium Discount</v>
      </c>
      <c r="G69">
        <v>5</v>
      </c>
      <c r="H69">
        <v>3</v>
      </c>
      <c r="I69" t="str">
        <f t="shared" si="5"/>
        <v>Average</v>
      </c>
    </row>
    <row r="70" spans="1:9" x14ac:dyDescent="0.35">
      <c r="A70" t="s">
        <v>185</v>
      </c>
      <c r="B70" s="3">
        <v>382</v>
      </c>
      <c r="C70" s="3">
        <v>700</v>
      </c>
      <c r="D70" s="3">
        <f t="shared" si="3"/>
        <v>318</v>
      </c>
      <c r="E70" s="1">
        <v>0.45</v>
      </c>
      <c r="F70" s="1" t="str">
        <f t="shared" si="4"/>
        <v>High Discount</v>
      </c>
      <c r="G70">
        <v>17</v>
      </c>
      <c r="H70">
        <v>2.6</v>
      </c>
      <c r="I70" t="str">
        <f t="shared" si="5"/>
        <v>Poor</v>
      </c>
    </row>
    <row r="71" spans="1:9" hidden="1" x14ac:dyDescent="0.35">
      <c r="A71" t="s">
        <v>186</v>
      </c>
      <c r="B71" s="3">
        <v>2300</v>
      </c>
      <c r="C71" s="3">
        <v>3240</v>
      </c>
      <c r="D71" s="3">
        <f t="shared" si="3"/>
        <v>940</v>
      </c>
      <c r="E71" s="1">
        <v>0.28999999999999998</v>
      </c>
      <c r="F71" s="1" t="str">
        <f t="shared" si="4"/>
        <v>Medium Discount</v>
      </c>
      <c r="G71">
        <v>5</v>
      </c>
      <c r="H71">
        <v>3</v>
      </c>
      <c r="I71" t="str">
        <f t="shared" si="5"/>
        <v>Average</v>
      </c>
    </row>
    <row r="72" spans="1:9" x14ac:dyDescent="0.35">
      <c r="A72" t="s">
        <v>187</v>
      </c>
      <c r="B72" s="3">
        <v>345</v>
      </c>
      <c r="C72" s="3">
        <v>602</v>
      </c>
      <c r="D72" s="3">
        <f t="shared" si="3"/>
        <v>257</v>
      </c>
      <c r="E72" s="1">
        <v>0.43</v>
      </c>
      <c r="F72" s="1" t="str">
        <f t="shared" si="4"/>
        <v>High Discount</v>
      </c>
      <c r="G72">
        <v>6</v>
      </c>
      <c r="H72">
        <v>2.2999999999999998</v>
      </c>
      <c r="I72" t="str">
        <f t="shared" si="5"/>
        <v>Poor</v>
      </c>
    </row>
    <row r="73" spans="1:9" hidden="1" x14ac:dyDescent="0.35">
      <c r="A73" t="s">
        <v>188</v>
      </c>
      <c r="B73" s="3">
        <v>509</v>
      </c>
      <c r="C73" s="3">
        <v>899</v>
      </c>
      <c r="D73" s="3">
        <f t="shared" si="3"/>
        <v>390</v>
      </c>
      <c r="E73" s="1">
        <v>0.43</v>
      </c>
      <c r="F73" s="1" t="str">
        <f t="shared" si="4"/>
        <v>High Discount</v>
      </c>
      <c r="G73">
        <v>5</v>
      </c>
      <c r="H73">
        <v>3</v>
      </c>
      <c r="I73" t="str">
        <f t="shared" si="5"/>
        <v>Average</v>
      </c>
    </row>
    <row r="74" spans="1:9" x14ac:dyDescent="0.35">
      <c r="A74" t="s">
        <v>189</v>
      </c>
      <c r="B74" s="3">
        <v>968</v>
      </c>
      <c r="C74" s="3">
        <v>1814</v>
      </c>
      <c r="D74" s="3">
        <f t="shared" si="3"/>
        <v>846</v>
      </c>
      <c r="E74" s="1">
        <v>0.47</v>
      </c>
      <c r="F74" s="1" t="str">
        <f t="shared" si="4"/>
        <v>High Discount</v>
      </c>
      <c r="G74">
        <v>6</v>
      </c>
      <c r="H74">
        <v>2.2000000000000002</v>
      </c>
      <c r="I74" t="str">
        <f t="shared" si="5"/>
        <v>Poor</v>
      </c>
    </row>
    <row r="75" spans="1:9" x14ac:dyDescent="0.35">
      <c r="A75" t="s">
        <v>190</v>
      </c>
      <c r="B75" s="3">
        <v>1570</v>
      </c>
      <c r="C75" s="3">
        <v>2988</v>
      </c>
      <c r="D75" s="3">
        <f t="shared" si="3"/>
        <v>1418</v>
      </c>
      <c r="E75" s="1">
        <v>0.47</v>
      </c>
      <c r="F75" s="1" t="str">
        <f t="shared" si="4"/>
        <v>High Discount</v>
      </c>
      <c r="G75">
        <v>7</v>
      </c>
      <c r="H75">
        <v>2.1</v>
      </c>
      <c r="I75" t="str">
        <f t="shared" si="5"/>
        <v>Poor</v>
      </c>
    </row>
    <row r="76" spans="1:9" hidden="1" x14ac:dyDescent="0.35">
      <c r="A76" t="s">
        <v>191</v>
      </c>
      <c r="B76" s="3">
        <v>790</v>
      </c>
      <c r="C76" s="3">
        <v>1485</v>
      </c>
      <c r="D76" s="3">
        <f t="shared" si="3"/>
        <v>695</v>
      </c>
      <c r="E76" s="1">
        <v>0.47</v>
      </c>
      <c r="F76" s="1" t="str">
        <f t="shared" si="4"/>
        <v>High Discount</v>
      </c>
      <c r="I76" t="str">
        <f t="shared" si="5"/>
        <v>Unknown</v>
      </c>
    </row>
    <row r="77" spans="1:9" hidden="1" x14ac:dyDescent="0.35">
      <c r="A77" t="s">
        <v>192</v>
      </c>
      <c r="B77" s="3">
        <v>690</v>
      </c>
      <c r="C77" s="3">
        <v>1200</v>
      </c>
      <c r="D77" s="3">
        <f t="shared" si="3"/>
        <v>510</v>
      </c>
      <c r="E77" s="1">
        <v>0.43</v>
      </c>
      <c r="F77" s="1" t="str">
        <f t="shared" si="4"/>
        <v>High Discount</v>
      </c>
      <c r="I77" t="str">
        <f t="shared" si="5"/>
        <v>Unknown</v>
      </c>
    </row>
    <row r="78" spans="1:9" hidden="1" x14ac:dyDescent="0.35">
      <c r="A78" t="s">
        <v>193</v>
      </c>
      <c r="B78" s="3">
        <v>1732</v>
      </c>
      <c r="C78" s="3">
        <v>1799</v>
      </c>
      <c r="D78" s="3">
        <f t="shared" si="3"/>
        <v>67</v>
      </c>
      <c r="E78" s="1">
        <v>0.04</v>
      </c>
      <c r="F78" s="1" t="str">
        <f t="shared" si="4"/>
        <v>Low Discount</v>
      </c>
      <c r="I78" t="str">
        <f t="shared" si="5"/>
        <v>Unknown</v>
      </c>
    </row>
    <row r="79" spans="1:9" hidden="1" x14ac:dyDescent="0.35">
      <c r="A79" t="s">
        <v>194</v>
      </c>
      <c r="B79" s="3">
        <v>230</v>
      </c>
      <c r="C79" s="3">
        <v>450</v>
      </c>
      <c r="D79" s="3">
        <f t="shared" si="3"/>
        <v>220</v>
      </c>
      <c r="E79" s="1">
        <v>0.49</v>
      </c>
      <c r="F79" s="1" t="str">
        <f t="shared" si="4"/>
        <v>High Discount</v>
      </c>
      <c r="I79" t="str">
        <f t="shared" si="5"/>
        <v>Unknown</v>
      </c>
    </row>
    <row r="80" spans="1:9" hidden="1" x14ac:dyDescent="0.35">
      <c r="A80" t="s">
        <v>195</v>
      </c>
      <c r="B80" s="3">
        <v>1189</v>
      </c>
      <c r="C80" s="3">
        <v>2199</v>
      </c>
      <c r="D80" s="3">
        <f t="shared" si="3"/>
        <v>1010</v>
      </c>
      <c r="E80" s="1">
        <v>0.46</v>
      </c>
      <c r="F80" s="1" t="str">
        <f t="shared" si="4"/>
        <v>High Discount</v>
      </c>
      <c r="G80">
        <v>1</v>
      </c>
      <c r="H80">
        <v>3</v>
      </c>
      <c r="I80" t="str">
        <f t="shared" si="5"/>
        <v>Average</v>
      </c>
    </row>
    <row r="81" spans="1:9" hidden="1" x14ac:dyDescent="0.35">
      <c r="A81" t="s">
        <v>196</v>
      </c>
      <c r="B81" s="3">
        <v>979</v>
      </c>
      <c r="C81" s="3">
        <v>1920</v>
      </c>
      <c r="D81" s="3">
        <f t="shared" si="3"/>
        <v>941</v>
      </c>
      <c r="E81" s="1">
        <v>0.49</v>
      </c>
      <c r="F81" s="1" t="str">
        <f t="shared" si="4"/>
        <v>High Discount</v>
      </c>
      <c r="G81">
        <v>1</v>
      </c>
      <c r="H81">
        <v>5</v>
      </c>
      <c r="I81" t="str">
        <f t="shared" si="5"/>
        <v>Excellent</v>
      </c>
    </row>
    <row r="82" spans="1:9" hidden="1" x14ac:dyDescent="0.35">
      <c r="A82" t="s">
        <v>197</v>
      </c>
      <c r="B82" s="3">
        <v>1460</v>
      </c>
      <c r="C82" s="3">
        <v>2290</v>
      </c>
      <c r="D82" s="3">
        <f t="shared" si="3"/>
        <v>830</v>
      </c>
      <c r="E82" s="1">
        <v>0.36</v>
      </c>
      <c r="F82" s="1" t="str">
        <f t="shared" si="4"/>
        <v>Medium Discount</v>
      </c>
      <c r="I82" t="str">
        <f t="shared" si="5"/>
        <v>Unknown</v>
      </c>
    </row>
    <row r="83" spans="1:9" hidden="1" x14ac:dyDescent="0.35">
      <c r="A83" t="s">
        <v>198</v>
      </c>
      <c r="B83" s="3">
        <v>1666</v>
      </c>
      <c r="C83" s="3">
        <v>1699</v>
      </c>
      <c r="D83" s="3">
        <f t="shared" si="3"/>
        <v>33</v>
      </c>
      <c r="E83" s="1">
        <v>0.02</v>
      </c>
      <c r="F83" s="1" t="str">
        <f t="shared" si="4"/>
        <v>Low Discount</v>
      </c>
      <c r="I83" t="str">
        <f t="shared" si="5"/>
        <v>Unknown</v>
      </c>
    </row>
    <row r="84" spans="1:9" hidden="1" x14ac:dyDescent="0.35">
      <c r="A84" t="s">
        <v>199</v>
      </c>
      <c r="B84" s="3">
        <v>330</v>
      </c>
      <c r="C84" s="3">
        <v>647</v>
      </c>
      <c r="D84" s="3">
        <f t="shared" si="3"/>
        <v>317</v>
      </c>
      <c r="E84" s="1">
        <v>0.49</v>
      </c>
      <c r="F84" s="1" t="str">
        <f t="shared" si="4"/>
        <v>High Discount</v>
      </c>
      <c r="G84">
        <v>1</v>
      </c>
      <c r="H84">
        <v>4</v>
      </c>
      <c r="I84" t="str">
        <f t="shared" si="5"/>
        <v>Average</v>
      </c>
    </row>
    <row r="85" spans="1:9" hidden="1" x14ac:dyDescent="0.35">
      <c r="A85" t="s">
        <v>166</v>
      </c>
      <c r="B85" s="3">
        <v>176</v>
      </c>
      <c r="C85" s="3">
        <v>345</v>
      </c>
      <c r="D85" s="3">
        <f t="shared" si="3"/>
        <v>169</v>
      </c>
      <c r="E85" s="1">
        <v>0.49</v>
      </c>
      <c r="F85" s="1" t="str">
        <f t="shared" si="4"/>
        <v>High Discount</v>
      </c>
      <c r="I85" t="str">
        <f t="shared" si="5"/>
        <v>Unknown</v>
      </c>
    </row>
    <row r="86" spans="1:9" hidden="1" x14ac:dyDescent="0.35">
      <c r="A86" t="s">
        <v>200</v>
      </c>
      <c r="B86" s="3">
        <v>1466</v>
      </c>
      <c r="C86" s="3">
        <v>1699</v>
      </c>
      <c r="D86" s="3">
        <f t="shared" si="3"/>
        <v>233</v>
      </c>
      <c r="E86" s="1">
        <v>0.14000000000000001</v>
      </c>
      <c r="F86" s="1" t="str">
        <f t="shared" si="4"/>
        <v>Low Discount</v>
      </c>
      <c r="I86" t="str">
        <f t="shared" si="5"/>
        <v>Unknown</v>
      </c>
    </row>
    <row r="87" spans="1:9" hidden="1" x14ac:dyDescent="0.35">
      <c r="A87" t="s">
        <v>201</v>
      </c>
      <c r="B87" s="3">
        <v>274</v>
      </c>
      <c r="C87" s="3">
        <v>537</v>
      </c>
      <c r="D87" s="3">
        <f t="shared" si="3"/>
        <v>263</v>
      </c>
      <c r="E87" s="1">
        <v>0.49</v>
      </c>
      <c r="F87" s="1" t="str">
        <f t="shared" si="4"/>
        <v>High Discount</v>
      </c>
      <c r="I87" t="str">
        <f t="shared" si="5"/>
        <v>Unknown</v>
      </c>
    </row>
    <row r="88" spans="1:9" hidden="1" x14ac:dyDescent="0.35">
      <c r="A88" t="s">
        <v>202</v>
      </c>
      <c r="B88" s="3">
        <v>799</v>
      </c>
      <c r="C88" s="3">
        <v>900</v>
      </c>
      <c r="D88" s="3">
        <f t="shared" si="3"/>
        <v>101</v>
      </c>
      <c r="E88" s="1">
        <v>0.11</v>
      </c>
      <c r="F88" s="1" t="str">
        <f t="shared" si="4"/>
        <v>Low Discount</v>
      </c>
      <c r="I88" t="str">
        <f t="shared" si="5"/>
        <v>Unknown</v>
      </c>
    </row>
    <row r="89" spans="1:9" hidden="1" x14ac:dyDescent="0.35">
      <c r="A89" t="s">
        <v>174</v>
      </c>
      <c r="B89" s="3">
        <v>657</v>
      </c>
      <c r="C89" s="3">
        <v>1288</v>
      </c>
      <c r="D89" s="3">
        <f t="shared" si="3"/>
        <v>631</v>
      </c>
      <c r="E89" s="1">
        <v>0.49</v>
      </c>
      <c r="F89" s="1" t="str">
        <f t="shared" si="4"/>
        <v>High Discount</v>
      </c>
      <c r="I89" t="str">
        <f t="shared" si="5"/>
        <v>Unknown</v>
      </c>
    </row>
    <row r="90" spans="1:9" hidden="1" x14ac:dyDescent="0.35">
      <c r="A90" t="s">
        <v>203</v>
      </c>
      <c r="B90" s="3">
        <v>1468</v>
      </c>
      <c r="C90" s="3">
        <v>1699</v>
      </c>
      <c r="D90" s="3">
        <f t="shared" si="3"/>
        <v>231</v>
      </c>
      <c r="E90" s="1">
        <v>0.14000000000000001</v>
      </c>
      <c r="F90" s="1" t="str">
        <f t="shared" si="4"/>
        <v>Low Discount</v>
      </c>
      <c r="I90" t="str">
        <f t="shared" si="5"/>
        <v>Unknown</v>
      </c>
    </row>
    <row r="91" spans="1:9" hidden="1" x14ac:dyDescent="0.35">
      <c r="A91" t="s">
        <v>204</v>
      </c>
      <c r="B91" s="3">
        <v>630</v>
      </c>
      <c r="C91" s="3">
        <v>1100</v>
      </c>
      <c r="D91" s="3">
        <f t="shared" si="3"/>
        <v>470</v>
      </c>
      <c r="E91" s="1">
        <v>0.43</v>
      </c>
      <c r="F91" s="1" t="str">
        <f t="shared" si="4"/>
        <v>High Discount</v>
      </c>
      <c r="I91" t="str">
        <f t="shared" si="5"/>
        <v>Unknown</v>
      </c>
    </row>
    <row r="92" spans="1:9" hidden="1" x14ac:dyDescent="0.35">
      <c r="A92" t="s">
        <v>205</v>
      </c>
      <c r="B92" s="3">
        <v>850</v>
      </c>
      <c r="C92" s="3">
        <v>1700</v>
      </c>
      <c r="D92" s="3">
        <f t="shared" si="3"/>
        <v>850</v>
      </c>
      <c r="E92" s="1">
        <v>0.5</v>
      </c>
      <c r="F92" s="1" t="str">
        <f t="shared" si="4"/>
        <v>High Discount</v>
      </c>
      <c r="I92" t="str">
        <f t="shared" si="5"/>
        <v>Unknown</v>
      </c>
    </row>
    <row r="93" spans="1:9" hidden="1" x14ac:dyDescent="0.35">
      <c r="A93" t="s">
        <v>206</v>
      </c>
      <c r="B93" s="3">
        <v>1300</v>
      </c>
      <c r="C93" s="3">
        <v>2500</v>
      </c>
      <c r="D93" s="3">
        <f t="shared" si="3"/>
        <v>1200</v>
      </c>
      <c r="E93" s="1">
        <v>0.48</v>
      </c>
      <c r="F93" s="1" t="str">
        <f t="shared" si="4"/>
        <v>High Discount</v>
      </c>
      <c r="I93" t="str">
        <f t="shared" si="5"/>
        <v>Unknown</v>
      </c>
    </row>
    <row r="94" spans="1:9" hidden="1" x14ac:dyDescent="0.35">
      <c r="A94" t="s">
        <v>207</v>
      </c>
      <c r="B94" s="3">
        <v>105</v>
      </c>
      <c r="C94" s="3">
        <v>200</v>
      </c>
      <c r="D94" s="3">
        <f t="shared" si="3"/>
        <v>95</v>
      </c>
      <c r="E94" s="1">
        <v>0.48</v>
      </c>
      <c r="F94" s="1" t="str">
        <f t="shared" si="4"/>
        <v>High Discount</v>
      </c>
      <c r="I94" t="str">
        <f t="shared" si="5"/>
        <v>Unknown</v>
      </c>
    </row>
    <row r="95" spans="1:9" hidden="1" x14ac:dyDescent="0.35">
      <c r="A95" t="s">
        <v>208</v>
      </c>
      <c r="B95" s="3">
        <v>899</v>
      </c>
      <c r="C95" s="3">
        <v>1699</v>
      </c>
      <c r="D95" s="3">
        <f t="shared" si="3"/>
        <v>800</v>
      </c>
      <c r="E95" s="1">
        <v>0.47</v>
      </c>
      <c r="F95" s="1" t="str">
        <f t="shared" si="4"/>
        <v>High Discount</v>
      </c>
      <c r="I95" t="str">
        <f t="shared" si="5"/>
        <v>Unknown</v>
      </c>
    </row>
    <row r="96" spans="1:9" hidden="1" x14ac:dyDescent="0.35">
      <c r="A96" t="s">
        <v>209</v>
      </c>
      <c r="B96" s="3">
        <v>1200</v>
      </c>
      <c r="C96" s="3">
        <v>2400</v>
      </c>
      <c r="D96" s="3">
        <f t="shared" si="3"/>
        <v>1200</v>
      </c>
      <c r="E96" s="1">
        <v>0.5</v>
      </c>
      <c r="F96" s="1" t="str">
        <f t="shared" si="4"/>
        <v>High Discount</v>
      </c>
      <c r="I96" t="str">
        <f t="shared" si="5"/>
        <v>Unknown</v>
      </c>
    </row>
    <row r="97" spans="1:9" hidden="1" x14ac:dyDescent="0.35">
      <c r="A97" t="s">
        <v>210</v>
      </c>
      <c r="B97" s="3">
        <v>1526</v>
      </c>
      <c r="C97" s="3">
        <v>1660</v>
      </c>
      <c r="D97" s="3">
        <f t="shared" si="3"/>
        <v>134</v>
      </c>
      <c r="E97" s="1">
        <v>0.08</v>
      </c>
      <c r="F97" s="1" t="str">
        <f t="shared" si="4"/>
        <v>Low Discount</v>
      </c>
      <c r="I97" t="str">
        <f t="shared" si="5"/>
        <v>Unknown</v>
      </c>
    </row>
    <row r="98" spans="1:9" hidden="1" x14ac:dyDescent="0.35">
      <c r="A98" t="s">
        <v>211</v>
      </c>
      <c r="B98" s="3">
        <v>1462</v>
      </c>
      <c r="C98" s="3">
        <v>1499</v>
      </c>
      <c r="D98" s="3">
        <f t="shared" si="3"/>
        <v>37</v>
      </c>
      <c r="E98" s="1">
        <v>0.02</v>
      </c>
      <c r="F98" s="1" t="str">
        <f t="shared" si="4"/>
        <v>Low Discount</v>
      </c>
      <c r="I98" t="str">
        <f t="shared" si="5"/>
        <v>Unknown</v>
      </c>
    </row>
    <row r="99" spans="1:9" hidden="1" x14ac:dyDescent="0.35">
      <c r="A99" t="s">
        <v>212</v>
      </c>
      <c r="B99" s="3">
        <v>248</v>
      </c>
      <c r="C99" s="3">
        <v>486</v>
      </c>
      <c r="D99" s="3">
        <f t="shared" si="3"/>
        <v>238</v>
      </c>
      <c r="E99" s="1">
        <v>0.49</v>
      </c>
      <c r="F99" s="1" t="str">
        <f t="shared" si="4"/>
        <v>High Discount</v>
      </c>
      <c r="I99" t="str">
        <f t="shared" si="5"/>
        <v>Unknown</v>
      </c>
    </row>
    <row r="100" spans="1:9" hidden="1" x14ac:dyDescent="0.35">
      <c r="A100" t="s">
        <v>213</v>
      </c>
      <c r="B100" s="3">
        <v>3546</v>
      </c>
      <c r="C100" s="3">
        <v>3699</v>
      </c>
      <c r="D100" s="3">
        <f t="shared" si="3"/>
        <v>153</v>
      </c>
      <c r="E100" s="1">
        <v>0.04</v>
      </c>
      <c r="F100" s="1" t="str">
        <f t="shared" si="4"/>
        <v>Low Discount</v>
      </c>
      <c r="I100" t="str">
        <f t="shared" si="5"/>
        <v>Unknown</v>
      </c>
    </row>
    <row r="101" spans="1:9" hidden="1" x14ac:dyDescent="0.35">
      <c r="A101" t="s">
        <v>214</v>
      </c>
      <c r="B101" s="3">
        <v>525</v>
      </c>
      <c r="C101" s="3">
        <v>1029</v>
      </c>
      <c r="D101" s="3">
        <f t="shared" si="3"/>
        <v>504</v>
      </c>
      <c r="E101" s="1">
        <v>0.49</v>
      </c>
      <c r="F101" s="1" t="str">
        <f t="shared" si="4"/>
        <v>High Discount</v>
      </c>
      <c r="I101" t="str">
        <f t="shared" si="5"/>
        <v>Unknown</v>
      </c>
    </row>
    <row r="102" spans="1:9" hidden="1" x14ac:dyDescent="0.35">
      <c r="A102" t="s">
        <v>215</v>
      </c>
      <c r="B102" s="3">
        <v>1080</v>
      </c>
      <c r="C102" s="3">
        <v>1874</v>
      </c>
      <c r="D102" s="3">
        <f t="shared" si="3"/>
        <v>794</v>
      </c>
      <c r="E102" s="1">
        <v>0.42</v>
      </c>
      <c r="F102" s="1" t="str">
        <f t="shared" si="4"/>
        <v>High Discount</v>
      </c>
      <c r="I102" t="str">
        <f t="shared" si="5"/>
        <v>Unknown</v>
      </c>
    </row>
    <row r="103" spans="1:9" hidden="1" x14ac:dyDescent="0.35">
      <c r="A103" t="s">
        <v>216</v>
      </c>
      <c r="B103" s="3">
        <v>3640</v>
      </c>
      <c r="C103" s="3">
        <v>4588</v>
      </c>
      <c r="D103" s="3">
        <f t="shared" si="3"/>
        <v>948</v>
      </c>
      <c r="E103" s="1">
        <v>0.21</v>
      </c>
      <c r="F103" s="1" t="str">
        <f t="shared" si="4"/>
        <v>Medium Discount</v>
      </c>
      <c r="G103">
        <v>1</v>
      </c>
      <c r="H103">
        <v>5</v>
      </c>
      <c r="I103" t="str">
        <f t="shared" si="5"/>
        <v>Excellent</v>
      </c>
    </row>
    <row r="104" spans="1:9" hidden="1" x14ac:dyDescent="0.35">
      <c r="A104" t="s">
        <v>217</v>
      </c>
      <c r="B104" s="3">
        <v>1420</v>
      </c>
      <c r="C104" s="3">
        <v>2420</v>
      </c>
      <c r="D104" s="3">
        <f t="shared" si="3"/>
        <v>1000</v>
      </c>
      <c r="E104" s="1">
        <v>0.41</v>
      </c>
      <c r="F104" s="1" t="str">
        <f t="shared" si="4"/>
        <v>High Discount</v>
      </c>
      <c r="I104" t="str">
        <f t="shared" si="5"/>
        <v>Unknown</v>
      </c>
    </row>
    <row r="105" spans="1:9" hidden="1" x14ac:dyDescent="0.35">
      <c r="A105" t="s">
        <v>218</v>
      </c>
      <c r="B105" s="3">
        <v>1875</v>
      </c>
      <c r="C105" s="3">
        <v>1899</v>
      </c>
      <c r="D105" s="3">
        <f t="shared" si="3"/>
        <v>24</v>
      </c>
      <c r="E105" s="1">
        <v>0.01</v>
      </c>
      <c r="F105" s="1" t="str">
        <f t="shared" si="4"/>
        <v>Low Discount</v>
      </c>
      <c r="I105" t="str">
        <f t="shared" si="5"/>
        <v>Unknown</v>
      </c>
    </row>
    <row r="106" spans="1:9" hidden="1" x14ac:dyDescent="0.35">
      <c r="A106" t="s">
        <v>219</v>
      </c>
      <c r="B106" s="3">
        <v>198</v>
      </c>
      <c r="C106" s="3">
        <v>260</v>
      </c>
      <c r="D106" s="3">
        <f t="shared" si="3"/>
        <v>62</v>
      </c>
      <c r="E106" s="1">
        <v>0.24</v>
      </c>
      <c r="F106" s="1" t="str">
        <f t="shared" si="4"/>
        <v>Medium Discount</v>
      </c>
      <c r="I106" t="str">
        <f t="shared" si="5"/>
        <v>Unknown</v>
      </c>
    </row>
    <row r="107" spans="1:9" hidden="1" x14ac:dyDescent="0.35">
      <c r="A107" t="s">
        <v>220</v>
      </c>
      <c r="B107" s="3">
        <v>1150</v>
      </c>
      <c r="C107" s="3">
        <v>1737</v>
      </c>
      <c r="D107" s="3">
        <f t="shared" si="3"/>
        <v>587</v>
      </c>
      <c r="E107" s="1">
        <v>0.34</v>
      </c>
      <c r="F107" s="1" t="str">
        <f t="shared" si="4"/>
        <v>Medium Discount</v>
      </c>
      <c r="I107" t="str">
        <f t="shared" si="5"/>
        <v>Unknown</v>
      </c>
    </row>
    <row r="108" spans="1:9" hidden="1" x14ac:dyDescent="0.35">
      <c r="A108" t="s">
        <v>221</v>
      </c>
      <c r="B108" s="3">
        <v>1190</v>
      </c>
      <c r="C108" s="3">
        <v>1810</v>
      </c>
      <c r="D108" s="3">
        <f t="shared" si="3"/>
        <v>620</v>
      </c>
      <c r="E108" s="1">
        <v>0.34</v>
      </c>
      <c r="F108" s="1" t="str">
        <f t="shared" si="4"/>
        <v>Medium Discount</v>
      </c>
      <c r="I108" t="str">
        <f t="shared" si="5"/>
        <v>Unknown</v>
      </c>
    </row>
    <row r="109" spans="1:9" hidden="1" x14ac:dyDescent="0.35">
      <c r="A109" t="s">
        <v>222</v>
      </c>
      <c r="B109" s="3">
        <v>1658</v>
      </c>
      <c r="C109" s="3">
        <v>1699</v>
      </c>
      <c r="D109" s="3">
        <f t="shared" si="3"/>
        <v>41</v>
      </c>
      <c r="E109" s="1">
        <v>0.02</v>
      </c>
      <c r="F109" s="1" t="str">
        <f t="shared" si="4"/>
        <v>Low Discount</v>
      </c>
      <c r="I109" t="str">
        <f t="shared" si="5"/>
        <v>Unknown</v>
      </c>
    </row>
    <row r="110" spans="1:9" hidden="1" x14ac:dyDescent="0.35">
      <c r="A110" t="s">
        <v>223</v>
      </c>
      <c r="B110" s="3">
        <v>1768</v>
      </c>
      <c r="C110" s="3">
        <v>1799</v>
      </c>
      <c r="D110" s="3">
        <f t="shared" si="3"/>
        <v>31</v>
      </c>
      <c r="E110" s="1">
        <v>0.02</v>
      </c>
      <c r="F110" s="1" t="str">
        <f t="shared" si="4"/>
        <v>Low Discount</v>
      </c>
      <c r="I110" t="str">
        <f t="shared" si="5"/>
        <v>Unknown</v>
      </c>
    </row>
    <row r="111" spans="1:9" hidden="1" x14ac:dyDescent="0.35">
      <c r="A111" t="s">
        <v>224</v>
      </c>
      <c r="B111" s="3">
        <v>199</v>
      </c>
      <c r="C111" s="3">
        <v>553</v>
      </c>
      <c r="D111" s="3">
        <f t="shared" si="3"/>
        <v>354</v>
      </c>
      <c r="E111" s="1">
        <v>0.64</v>
      </c>
      <c r="F111" s="1" t="str">
        <f t="shared" si="4"/>
        <v>High Discount</v>
      </c>
      <c r="I111" t="str">
        <f t="shared" si="5"/>
        <v>Unknown</v>
      </c>
    </row>
    <row r="112" spans="1:9" x14ac:dyDescent="0.35">
      <c r="A112" t="s">
        <v>225</v>
      </c>
      <c r="B112" s="3">
        <v>450</v>
      </c>
      <c r="C112" s="3">
        <v>900</v>
      </c>
      <c r="D112" s="3">
        <f t="shared" si="3"/>
        <v>450</v>
      </c>
      <c r="E112" s="1">
        <v>0.5</v>
      </c>
      <c r="F112" s="1" t="str">
        <f t="shared" si="4"/>
        <v>High Discount</v>
      </c>
      <c r="G112">
        <v>1</v>
      </c>
      <c r="H112">
        <v>2</v>
      </c>
      <c r="I112" t="str">
        <f t="shared" si="5"/>
        <v>Poor</v>
      </c>
    </row>
    <row r="113" spans="1:9" hidden="1" x14ac:dyDescent="0.35">
      <c r="A113" t="s">
        <v>226</v>
      </c>
      <c r="B113" s="3">
        <v>169</v>
      </c>
      <c r="C113" s="3">
        <v>320</v>
      </c>
      <c r="D113" s="3">
        <f t="shared" si="3"/>
        <v>151</v>
      </c>
      <c r="E113" s="1">
        <v>0.47</v>
      </c>
      <c r="F113" s="1" t="str">
        <f t="shared" si="4"/>
        <v>High Discount</v>
      </c>
      <c r="I113" t="str">
        <f t="shared" si="5"/>
        <v>Unknown</v>
      </c>
    </row>
  </sheetData>
  <autoFilter ref="A1:M113" xr:uid="{79EEFC09-57BD-4B40-AFA7-932220FFE6E6}">
    <filterColumn colId="8">
      <filters>
        <filter val="Poo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DC89-4C06-49D2-9C3D-F8E1452221A4}">
  <dimension ref="A1:E31"/>
  <sheetViews>
    <sheetView topLeftCell="A21" workbookViewId="0">
      <selection activeCell="G6" sqref="G6"/>
    </sheetView>
  </sheetViews>
  <sheetFormatPr defaultRowHeight="14.5" x14ac:dyDescent="0.35"/>
  <cols>
    <col min="1" max="1" width="23.7265625" customWidth="1"/>
    <col min="2" max="2" width="15.6328125" style="40" customWidth="1"/>
  </cols>
  <sheetData>
    <row r="1" spans="1:5" ht="15.5" x14ac:dyDescent="0.35">
      <c r="A1" s="42" t="s">
        <v>242</v>
      </c>
      <c r="B1" s="42"/>
      <c r="C1" s="42"/>
      <c r="D1" s="42"/>
      <c r="E1" s="7"/>
    </row>
    <row r="2" spans="1:5" x14ac:dyDescent="0.35">
      <c r="A2" s="41" t="s">
        <v>243</v>
      </c>
      <c r="B2" s="41" t="s">
        <v>244</v>
      </c>
      <c r="C2" s="7"/>
      <c r="D2" s="7"/>
      <c r="E2" s="7"/>
    </row>
    <row r="3" spans="1:5" x14ac:dyDescent="0.35">
      <c r="A3" s="5" t="s">
        <v>238</v>
      </c>
      <c r="B3" s="33">
        <f>COUNTA(Sheet1!A2:A113)</f>
        <v>112</v>
      </c>
      <c r="C3" s="7"/>
      <c r="D3" s="7"/>
      <c r="E3" s="7"/>
    </row>
    <row r="4" spans="1:5" x14ac:dyDescent="0.35">
      <c r="A4" s="6" t="s">
        <v>245</v>
      </c>
      <c r="B4" s="34">
        <f>AVERAGE(Sheet1!B2:B113)</f>
        <v>1186.8928571428571</v>
      </c>
      <c r="C4" s="7"/>
      <c r="D4" s="7"/>
      <c r="E4" s="7"/>
    </row>
    <row r="5" spans="1:5" x14ac:dyDescent="0.35">
      <c r="A5" s="5" t="s">
        <v>246</v>
      </c>
      <c r="B5" s="35">
        <f>AVERAGE(Sheet1!C2:C113)</f>
        <v>1811.1071428571429</v>
      </c>
      <c r="C5" s="7"/>
      <c r="D5" s="7"/>
      <c r="E5" s="7"/>
    </row>
    <row r="6" spans="1:5" x14ac:dyDescent="0.35">
      <c r="A6" s="6" t="s">
        <v>247</v>
      </c>
      <c r="B6" s="36">
        <f>AVERAGE(Sheet1!E2:E113)</f>
        <v>0.36776785714285715</v>
      </c>
      <c r="C6" s="7"/>
      <c r="D6" s="7"/>
      <c r="E6" s="7"/>
    </row>
    <row r="7" spans="1:5" x14ac:dyDescent="0.35">
      <c r="A7" s="43" t="s">
        <v>248</v>
      </c>
      <c r="B7" s="37">
        <f>AVERAGE(Sheet1!H2:H113)</f>
        <v>3.8894736842105258</v>
      </c>
      <c r="C7" s="7"/>
      <c r="D7" s="7"/>
      <c r="E7" s="7"/>
    </row>
    <row r="8" spans="1:5" x14ac:dyDescent="0.35">
      <c r="A8" s="6" t="s">
        <v>239</v>
      </c>
      <c r="B8" s="38" cm="1">
        <f t="array" ref="B8">SUM(ABS(Sheet1!G2:G113))</f>
        <v>723</v>
      </c>
      <c r="C8" s="7"/>
      <c r="D8" s="7"/>
      <c r="E8" s="7"/>
    </row>
    <row r="9" spans="1:5" x14ac:dyDescent="0.35">
      <c r="A9" s="5" t="s">
        <v>240</v>
      </c>
      <c r="B9" s="33" t="s">
        <v>184</v>
      </c>
      <c r="C9" s="7"/>
      <c r="D9" s="7"/>
      <c r="E9" s="7"/>
    </row>
    <row r="10" spans="1:5" x14ac:dyDescent="0.35">
      <c r="A10" s="6" t="s">
        <v>249</v>
      </c>
      <c r="B10" s="34">
        <f>MAX(Sheet1!B2:B113)</f>
        <v>3750</v>
      </c>
      <c r="C10" s="7"/>
      <c r="D10" s="7"/>
      <c r="E10" s="7"/>
    </row>
    <row r="11" spans="1:5" x14ac:dyDescent="0.35">
      <c r="A11" s="5" t="s">
        <v>241</v>
      </c>
      <c r="B11" s="33" t="s">
        <v>138</v>
      </c>
      <c r="C11" s="7"/>
      <c r="D11" s="7"/>
      <c r="E11" s="7"/>
    </row>
    <row r="12" spans="1:5" x14ac:dyDescent="0.35">
      <c r="A12" s="6" t="s">
        <v>250</v>
      </c>
      <c r="B12" s="34">
        <f>MIN(Sheet1!B2:B113)</f>
        <v>38</v>
      </c>
      <c r="C12" s="7"/>
      <c r="D12" s="7"/>
      <c r="E12" s="7"/>
    </row>
    <row r="13" spans="1:5" x14ac:dyDescent="0.35">
      <c r="A13" s="5" t="s">
        <v>251</v>
      </c>
      <c r="B13" s="39">
        <f>MAX(Sheet1!E2:E113)</f>
        <v>0.64</v>
      </c>
      <c r="C13" s="7"/>
      <c r="D13" s="7"/>
      <c r="E13" s="7"/>
    </row>
    <row r="14" spans="1:5" x14ac:dyDescent="0.35">
      <c r="A14" s="6" t="s">
        <v>252</v>
      </c>
      <c r="B14" s="36">
        <f>MIN(Sheet1!E2:E113)</f>
        <v>0.01</v>
      </c>
      <c r="C14" s="7"/>
      <c r="D14" s="7"/>
      <c r="E14" s="7"/>
    </row>
    <row r="18" spans="1:4" x14ac:dyDescent="0.35">
      <c r="A18" t="s">
        <v>253</v>
      </c>
    </row>
    <row r="19" spans="1:4" x14ac:dyDescent="0.35">
      <c r="A19" t="s">
        <v>229</v>
      </c>
      <c r="B19" s="40" t="s">
        <v>254</v>
      </c>
      <c r="C19" t="s">
        <v>255</v>
      </c>
      <c r="D19" t="s">
        <v>256</v>
      </c>
    </row>
    <row r="20" spans="1:4" x14ac:dyDescent="0.35">
      <c r="A20" t="s">
        <v>257</v>
      </c>
      <c r="B20" s="40">
        <f>COUNTIF(Sheet1!I2:I113,"Poor")</f>
        <v>12</v>
      </c>
      <c r="C20" s="2">
        <f>IFERROR(AVERAGEIF(Sheet1!I2:I113,"Poor",Sheet1!B2:B113),"")</f>
        <v>998.33333333333337</v>
      </c>
      <c r="D20" s="8">
        <f>IFERROR(AVERAGEIF(Sheet1!I2:I113,"Poor",Sheet1!G2:G113),"")</f>
        <v>14.083333333333334</v>
      </c>
    </row>
    <row r="21" spans="1:4" x14ac:dyDescent="0.35">
      <c r="A21" t="s">
        <v>258</v>
      </c>
      <c r="B21" s="40">
        <f>COUNTIF(Sheet1!I2:I113,"Average")</f>
        <v>13</v>
      </c>
      <c r="C21" s="2">
        <f>IFERROR(AVERAGEIF(Sheet1!I2:I113,"Average",Sheet1!B2:B113),"")</f>
        <v>1482.3846153846155</v>
      </c>
      <c r="D21" s="8">
        <f>IFERROR(AVERAGEIF(Sheet1!I2:I113,"Average",Sheet1!G2:G113),"")</f>
        <v>7.1538461538461542</v>
      </c>
    </row>
    <row r="22" spans="1:4" x14ac:dyDescent="0.35">
      <c r="A22" t="s">
        <v>259</v>
      </c>
      <c r="B22" s="40">
        <f>COUNTIF(Sheet1!I2:I113,"Good")</f>
        <v>9</v>
      </c>
      <c r="C22" s="2">
        <f>IFERROR(AVERAGEIF(Sheet1!I2:I113,"Good",Sheet1!B2:B113),"")</f>
        <v>1206.2222222222222</v>
      </c>
      <c r="D22" s="8">
        <f>IFERROR(AVERAGEIF(Sheet1!I2:I113,"Good",Sheet1!G2:G113),"")</f>
        <v>14.444444444444445</v>
      </c>
    </row>
    <row r="23" spans="1:4" x14ac:dyDescent="0.35">
      <c r="A23" t="s">
        <v>260</v>
      </c>
      <c r="B23" s="40">
        <f>COUNTIF(Sheet1!I2:I114,"Excellent")</f>
        <v>23</v>
      </c>
      <c r="C23" s="2">
        <f>IFERROR(AVERAGEIF(Sheet1!I2:I113,"Excellent",Sheet1!B2:B113),"")</f>
        <v>1399.304347826087</v>
      </c>
      <c r="D23" s="8">
        <f>IFERROR(AVERAGEIF(Sheet1!I2:I113,"Excellent",Sheet1!G2:G113),"")</f>
        <v>14.391304347826088</v>
      </c>
    </row>
    <row r="24" spans="1:4" x14ac:dyDescent="0.35">
      <c r="A24" t="s">
        <v>261</v>
      </c>
      <c r="B24" s="40">
        <f>COUNTIF(Sheet1!I2:I113,"Unknown")</f>
        <v>55</v>
      </c>
      <c r="C24" s="2">
        <f>IFERROR(AVERAGEIF(Sheet1!I2:I113,"Unknown",Sheet1!B2:B113),"")</f>
        <v>1066.2</v>
      </c>
      <c r="D24" t="str">
        <f>IFERROR(AVERAGEIF(Sheet1!I2:I113,"Unknown",Sheet1!G2:G113),"")</f>
        <v/>
      </c>
    </row>
    <row r="27" spans="1:4" x14ac:dyDescent="0.35">
      <c r="A27" t="s">
        <v>262</v>
      </c>
    </row>
    <row r="28" spans="1:4" x14ac:dyDescent="0.35">
      <c r="A28" t="s">
        <v>230</v>
      </c>
      <c r="B28" s="40" t="s">
        <v>254</v>
      </c>
      <c r="C28" t="s">
        <v>248</v>
      </c>
      <c r="D28" t="s">
        <v>256</v>
      </c>
    </row>
    <row r="29" spans="1:4" x14ac:dyDescent="0.35">
      <c r="A29" t="s">
        <v>263</v>
      </c>
      <c r="B29" s="40">
        <f>COUNTIF(Sheet1!F2:F113,"Low Discount")</f>
        <v>18</v>
      </c>
      <c r="C29">
        <f>IFERROR(AVERAGEIF(Sheet1!F2:F113,"Low Discount",Sheet1!H2:H113),"")</f>
        <v>3.7249999999999996</v>
      </c>
      <c r="D29">
        <f>IFERROR(AVERAGEIF(Sheet1!F2:F113,"Low Discount",Sheet1!G2:G113),"")</f>
        <v>9.5</v>
      </c>
    </row>
    <row r="30" spans="1:4" x14ac:dyDescent="0.35">
      <c r="A30" t="s">
        <v>264</v>
      </c>
      <c r="B30" s="40">
        <f>COUNTIF(Sheet1!F2:F113,"Medium Discount")</f>
        <v>32</v>
      </c>
      <c r="C30">
        <f>IFERROR(AVERAGEIF(Sheet1!F2:F113,"Medium Discount",Sheet1!H2:H113),"")</f>
        <v>4.2782608695652184</v>
      </c>
      <c r="D30">
        <f>IFERROR(AVERAGEIF(Sheet1!F2:F113,"Medium Discount",Sheet1!G2:G113),"")</f>
        <v>15.260869565217391</v>
      </c>
    </row>
    <row r="31" spans="1:4" x14ac:dyDescent="0.35">
      <c r="A31" t="s">
        <v>265</v>
      </c>
      <c r="B31" s="40">
        <f>COUNTIF(Sheet1!F2:F113,"High Discount")</f>
        <v>62</v>
      </c>
      <c r="C31">
        <f>IFERROR(AVERAGEIF(Sheet1!F2:F113,"High Discount",Sheet1!H2:H113),"")</f>
        <v>3.6133333333333324</v>
      </c>
      <c r="D31">
        <f>IFERROR(AVERAGEIF(Sheet1!F2:F113,"High Discount",Sheet1!G2:G113),"")</f>
        <v>11.133333333333333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1AC6-D462-4041-BF9A-3F6D41EB3362}">
  <dimension ref="A1:F52"/>
  <sheetViews>
    <sheetView workbookViewId="0">
      <selection activeCell="B21" sqref="B21"/>
    </sheetView>
  </sheetViews>
  <sheetFormatPr defaultColWidth="17.453125" defaultRowHeight="14.5" x14ac:dyDescent="0.35"/>
  <cols>
    <col min="1" max="1" width="26.36328125" customWidth="1"/>
    <col min="5" max="5" width="15.26953125" customWidth="1"/>
  </cols>
  <sheetData>
    <row r="1" spans="1:3" x14ac:dyDescent="0.35">
      <c r="A1" t="s">
        <v>266</v>
      </c>
    </row>
    <row r="2" spans="1:3" x14ac:dyDescent="0.35">
      <c r="A2" t="s">
        <v>267</v>
      </c>
      <c r="B2" t="s">
        <v>256</v>
      </c>
      <c r="C2" t="s">
        <v>268</v>
      </c>
    </row>
    <row r="3" spans="1:3" x14ac:dyDescent="0.35">
      <c r="A3" t="s">
        <v>269</v>
      </c>
      <c r="B3" s="9">
        <f>IFERROR(AVERAGEIFS(Sheet1!G$2:G$113,Sheet1!E$2:E$113,"&gt;=0",Sheet1!E$2:E$113,"&lt;=0.2"),0)</f>
        <v>10</v>
      </c>
      <c r="C3" s="2">
        <f>COUNTIFS(Sheet1!E$2:E$113,"&gt;=0",Sheet1!E$2:E$113,"&lt;=0.2")</f>
        <v>19</v>
      </c>
    </row>
    <row r="4" spans="1:3" x14ac:dyDescent="0.35">
      <c r="A4" t="s">
        <v>270</v>
      </c>
      <c r="B4" s="9">
        <f>IFERROR(AVERAGEIFS(Sheet1!G$2:G$113,Sheet1!E$2:E$113,"&gt;=0.21",Sheet1!E$2:E$113,"&lt;=0.4"),0)</f>
        <v>15.409090909090908</v>
      </c>
      <c r="C4" s="2">
        <f>COUNTIFS(Sheet1!E$2:E$113,"&gt;=0.21",Sheet1!E$2:E$113,"&lt;=0.4")</f>
        <v>31</v>
      </c>
    </row>
    <row r="5" spans="1:3" x14ac:dyDescent="0.35">
      <c r="A5" t="s">
        <v>271</v>
      </c>
      <c r="B5" s="9">
        <f>IFERROR(AVERAGEIFS(Sheet1!G$2:G$113,Sheet1!E$2:E$113,"&gt;=0.41",Sheet1!E$2:E$113,"&lt;=0.6"),0)</f>
        <v>11.133333333333333</v>
      </c>
      <c r="C5" s="2">
        <f>COUNTIFS(Sheet1!E$2:E$113,"&gt;=0.41",Sheet1!E$2:E$113,"&lt;=0.6")</f>
        <v>60</v>
      </c>
    </row>
    <row r="6" spans="1:3" x14ac:dyDescent="0.35">
      <c r="A6" t="s">
        <v>272</v>
      </c>
      <c r="B6" s="9">
        <f>IFERROR(AVERAGEIFS(Sheet1!G$2:G$113,Sheet1!E$2:E$113,"&gt;=0.61",Sheet1!E$2:E$113,"&lt;=0.8"),0)</f>
        <v>0</v>
      </c>
      <c r="C6" s="2">
        <f>COUNTIFS(Sheet1!E$2:E$113,"&gt;=0.61",Sheet1!E$2:E$113,"&lt;=0.8")</f>
        <v>2</v>
      </c>
    </row>
    <row r="7" spans="1:3" x14ac:dyDescent="0.35">
      <c r="A7" t="s">
        <v>273</v>
      </c>
      <c r="B7" s="9">
        <f>IFERROR(AVERAGEIFS(Sheet1!G$2:G$113,Sheet1!E$2:E$113,"&gt;=0.81",Sheet1!E$2:E$113,"&lt;=1.0"),0)</f>
        <v>0</v>
      </c>
      <c r="C7" s="2">
        <f>COUNTIFS(Sheet1!E$2:E$113,"&gt;=0.81",Sheet1!E$2:E$113,"&lt;=1.0")</f>
        <v>0</v>
      </c>
    </row>
    <row r="11" spans="1:3" x14ac:dyDescent="0.35">
      <c r="A11" t="s">
        <v>274</v>
      </c>
    </row>
    <row r="12" spans="1:3" x14ac:dyDescent="0.35">
      <c r="A12" t="s">
        <v>275</v>
      </c>
      <c r="B12" t="s">
        <v>256</v>
      </c>
      <c r="C12" t="s">
        <v>268</v>
      </c>
    </row>
    <row r="13" spans="1:3" x14ac:dyDescent="0.35">
      <c r="A13" t="s">
        <v>276</v>
      </c>
      <c r="B13" s="9">
        <f>IFERROR(AVERAGEIFS(Sheet1!G$2:G$113,Sheet1!H$2:H$113,"&gt;=2.0",Sheet1!H$2:H$113,"&lt;=2.9"),0)</f>
        <v>14.083333333333334</v>
      </c>
      <c r="C13" s="2">
        <f>COUNTIFS(Sheet1!H$2:H$113,"&gt;=2.0",Sheet1!H$2:H$113,"&lt;=2.9")</f>
        <v>12</v>
      </c>
    </row>
    <row r="14" spans="1:3" x14ac:dyDescent="0.35">
      <c r="A14" t="s">
        <v>278</v>
      </c>
      <c r="B14" s="9">
        <f>IFERROR(AVERAGEIFS(Sheet1!G$2:G$113,Sheet1!H$2:H$113,"&gt;=3.0",Sheet1!H$2:H$113,"&lt;=4.0"),0)</f>
        <v>7.1538461538461542</v>
      </c>
      <c r="C14" s="2">
        <f>COUNTIFS(Sheet1!H$2:H$113,"&gt;=3.0",Sheet1!H$2:H$113,"&lt;=4.0")</f>
        <v>13</v>
      </c>
    </row>
    <row r="15" spans="1:3" x14ac:dyDescent="0.35">
      <c r="A15" t="s">
        <v>279</v>
      </c>
      <c r="B15" s="9">
        <f>IFERROR(AVERAGEIFS(Sheet1!G$2:G$113,Sheet1!H$2:H$113,"&gt;=4.1",Sheet1!H$2:H$113,"&lt;=4.4"),0)</f>
        <v>14.444444444444445</v>
      </c>
      <c r="C15" s="2">
        <f>COUNTIFS(Sheet1!H$2:H$113,"&gt;=4.1",Sheet1!H$2:H$113,"&lt;=4.4")</f>
        <v>9</v>
      </c>
    </row>
    <row r="16" spans="1:3" x14ac:dyDescent="0.35">
      <c r="A16" t="s">
        <v>277</v>
      </c>
      <c r="B16" s="9">
        <f>IFERROR(AVERAGEIFS(Sheet1!G$2:G$113,Sheet1!H$2:H$113,"&gt;=4.5",Sheet1!H$2:H$113,"&lt;=5.0"),0)</f>
        <v>14.391304347826088</v>
      </c>
      <c r="C16" s="2">
        <f>COUNTIFS(Sheet1!H$2:H$113,"&gt;=4.5",Sheet1!H$2:H$113,"&lt;=5.0")</f>
        <v>23</v>
      </c>
    </row>
    <row r="19" spans="1:6" x14ac:dyDescent="0.35">
      <c r="A19" t="s">
        <v>280</v>
      </c>
    </row>
    <row r="20" spans="1:6" x14ac:dyDescent="0.35">
      <c r="A20" t="s">
        <v>113</v>
      </c>
      <c r="B20" t="s">
        <v>281</v>
      </c>
      <c r="C20" t="s">
        <v>282</v>
      </c>
      <c r="D20" t="s">
        <v>283</v>
      </c>
      <c r="E20" t="s">
        <v>284</v>
      </c>
      <c r="F20" t="s">
        <v>229</v>
      </c>
    </row>
    <row r="21" spans="1:6" x14ac:dyDescent="0.35">
      <c r="A21" t="s">
        <v>138</v>
      </c>
      <c r="B21" s="1">
        <v>0.53</v>
      </c>
      <c r="C21" s="4">
        <v>3.3</v>
      </c>
      <c r="D21" s="2">
        <v>13</v>
      </c>
      <c r="E21" t="s">
        <v>264</v>
      </c>
      <c r="F21" t="s">
        <v>258</v>
      </c>
    </row>
    <row r="22" spans="1:6" x14ac:dyDescent="0.35">
      <c r="A22" t="s">
        <v>177</v>
      </c>
      <c r="B22" s="1">
        <v>0.54</v>
      </c>
      <c r="C22" s="4">
        <v>3</v>
      </c>
      <c r="D22" s="2">
        <v>10</v>
      </c>
      <c r="E22" t="s">
        <v>264</v>
      </c>
      <c r="F22" t="s">
        <v>258</v>
      </c>
    </row>
    <row r="23" spans="1:6" x14ac:dyDescent="0.35">
      <c r="A23" t="s">
        <v>178</v>
      </c>
      <c r="B23" s="1">
        <v>0.55000000000000004</v>
      </c>
      <c r="C23" s="4">
        <v>2.1</v>
      </c>
      <c r="D23" s="2">
        <v>13</v>
      </c>
      <c r="E23" t="s">
        <v>264</v>
      </c>
      <c r="F23" t="s">
        <v>257</v>
      </c>
    </row>
    <row r="24" spans="1:6" x14ac:dyDescent="0.35">
      <c r="A24" t="s">
        <v>179</v>
      </c>
      <c r="B24" s="1">
        <v>0.49</v>
      </c>
      <c r="C24" s="4">
        <v>2.8</v>
      </c>
      <c r="D24" s="2">
        <v>69</v>
      </c>
      <c r="E24" t="s">
        <v>264</v>
      </c>
      <c r="F24" t="s">
        <v>257</v>
      </c>
    </row>
    <row r="25" spans="1:6" x14ac:dyDescent="0.35">
      <c r="A25" t="s">
        <v>180</v>
      </c>
      <c r="B25" s="1">
        <v>0.52</v>
      </c>
      <c r="C25" s="4">
        <v>2.7</v>
      </c>
      <c r="D25" s="2">
        <v>15</v>
      </c>
      <c r="E25" t="s">
        <v>264</v>
      </c>
      <c r="F25" t="s">
        <v>257</v>
      </c>
    </row>
    <row r="26" spans="1:6" x14ac:dyDescent="0.35">
      <c r="A26" t="s">
        <v>182</v>
      </c>
      <c r="B26" s="1">
        <v>0.45</v>
      </c>
      <c r="C26" s="4">
        <v>2.2000000000000002</v>
      </c>
      <c r="D26" s="2">
        <v>6</v>
      </c>
      <c r="E26" t="s">
        <v>264</v>
      </c>
      <c r="F26" t="s">
        <v>257</v>
      </c>
    </row>
    <row r="27" spans="1:6" x14ac:dyDescent="0.35">
      <c r="A27" t="s">
        <v>183</v>
      </c>
      <c r="B27" s="1">
        <v>0.5</v>
      </c>
      <c r="C27" s="4">
        <v>2.2999999999999998</v>
      </c>
      <c r="D27" s="2">
        <v>7</v>
      </c>
      <c r="E27" t="s">
        <v>264</v>
      </c>
      <c r="F27" t="s">
        <v>257</v>
      </c>
    </row>
    <row r="28" spans="1:6" x14ac:dyDescent="0.35">
      <c r="A28" t="s">
        <v>185</v>
      </c>
      <c r="B28" s="1">
        <v>0.45</v>
      </c>
      <c r="C28" s="4">
        <v>2.6</v>
      </c>
      <c r="D28" s="2">
        <v>17</v>
      </c>
      <c r="E28" t="s">
        <v>264</v>
      </c>
      <c r="F28" t="s">
        <v>257</v>
      </c>
    </row>
    <row r="29" spans="1:6" x14ac:dyDescent="0.35">
      <c r="A29" t="s">
        <v>187</v>
      </c>
      <c r="B29" s="1">
        <v>0.43</v>
      </c>
      <c r="C29" s="4">
        <v>2.2999999999999998</v>
      </c>
      <c r="D29" s="2">
        <v>6</v>
      </c>
      <c r="E29" t="s">
        <v>264</v>
      </c>
      <c r="F29" t="s">
        <v>257</v>
      </c>
    </row>
    <row r="30" spans="1:6" x14ac:dyDescent="0.35">
      <c r="A30" t="s">
        <v>188</v>
      </c>
      <c r="B30" s="1">
        <v>0.43</v>
      </c>
      <c r="C30" s="4">
        <v>3</v>
      </c>
      <c r="D30" s="2">
        <v>5</v>
      </c>
      <c r="E30" t="s">
        <v>264</v>
      </c>
      <c r="F30" t="s">
        <v>258</v>
      </c>
    </row>
    <row r="31" spans="1:6" x14ac:dyDescent="0.35">
      <c r="A31" t="s">
        <v>189</v>
      </c>
      <c r="B31" s="1">
        <v>0.47</v>
      </c>
      <c r="C31" s="4">
        <v>2.2000000000000002</v>
      </c>
      <c r="D31" s="2">
        <v>6</v>
      </c>
      <c r="E31" t="s">
        <v>264</v>
      </c>
      <c r="F31" t="s">
        <v>257</v>
      </c>
    </row>
    <row r="32" spans="1:6" x14ac:dyDescent="0.35">
      <c r="A32" t="s">
        <v>190</v>
      </c>
      <c r="B32" s="1">
        <v>0.47</v>
      </c>
      <c r="C32" s="4">
        <v>2.1</v>
      </c>
      <c r="D32" s="2">
        <v>7</v>
      </c>
      <c r="E32" t="s">
        <v>264</v>
      </c>
      <c r="F32" t="s">
        <v>257</v>
      </c>
    </row>
    <row r="33" spans="1:6" x14ac:dyDescent="0.35">
      <c r="A33" t="s">
        <v>195</v>
      </c>
      <c r="B33" s="1">
        <v>0.46</v>
      </c>
      <c r="C33" s="4">
        <v>3</v>
      </c>
      <c r="D33" s="2">
        <v>1</v>
      </c>
      <c r="E33" t="s">
        <v>264</v>
      </c>
      <c r="F33" t="s">
        <v>258</v>
      </c>
    </row>
    <row r="34" spans="1:6" x14ac:dyDescent="0.35">
      <c r="A34" t="s">
        <v>225</v>
      </c>
      <c r="B34" s="1">
        <v>0.5</v>
      </c>
      <c r="C34" s="4">
        <v>2</v>
      </c>
      <c r="D34" s="2">
        <v>1</v>
      </c>
      <c r="E34" t="s">
        <v>264</v>
      </c>
      <c r="F34" t="s">
        <v>257</v>
      </c>
    </row>
    <row r="37" spans="1:6" x14ac:dyDescent="0.35">
      <c r="A37" t="s">
        <v>290</v>
      </c>
    </row>
    <row r="38" spans="1:6" x14ac:dyDescent="0.35">
      <c r="A38" t="s">
        <v>287</v>
      </c>
      <c r="B38" t="s">
        <v>288</v>
      </c>
      <c r="C38" t="s">
        <v>289</v>
      </c>
    </row>
    <row r="39" spans="1:6" x14ac:dyDescent="0.35">
      <c r="A39">
        <v>1</v>
      </c>
      <c r="B39" t="str">
        <f>IFERROR(INDEX(Sheet1!A$2:A$113,MATCH(LARGE(Sheet1!H$2:H$113,1),Sheet1!H$2:H$113,0)),"")</f>
        <v>Anti-Skid Absorbent Insulation Coaster For Home Office</v>
      </c>
      <c r="C39" s="8">
        <f>IFERROR(LARGE(Sheet1!H$2:H$113,1),"")</f>
        <v>5</v>
      </c>
      <c r="D39" s="2"/>
      <c r="E39" s="1"/>
    </row>
    <row r="40" spans="1:6" x14ac:dyDescent="0.35">
      <c r="A40">
        <v>2</v>
      </c>
      <c r="B40" t="str">
        <f>IFERROR(INDEX(Sheet1!A$2:A$113,MATCH(LARGE(Sheet1!H$2:H$113,2),Sheet1!H$2:H$113,0)),"")</f>
        <v>Anti-Skid Absorbent Insulation Coaster For Home Office</v>
      </c>
      <c r="C40" s="8">
        <f>IFERROR(LARGE(Sheet1!H$2:H$113,2),"")</f>
        <v>5</v>
      </c>
      <c r="D40" s="2"/>
      <c r="E40" s="1"/>
    </row>
    <row r="41" spans="1:6" x14ac:dyDescent="0.35">
      <c r="A41">
        <v>3</v>
      </c>
      <c r="B41" t="str">
        <f>IFERROR(INDEX(Sheet1!A$2:A$113,MATCH(LARGE(Sheet1!H$2:H$113,3),Sheet1!H$2:H$113,0)),"")</f>
        <v>Anti-Skid Absorbent Insulation Coaster For Home Office</v>
      </c>
      <c r="C41" s="8">
        <f>IFERROR(LARGE(Sheet1!H$2:H$113,3),"")</f>
        <v>5</v>
      </c>
      <c r="D41" s="2"/>
      <c r="E41" s="1"/>
    </row>
    <row r="42" spans="1:6" x14ac:dyDescent="0.35">
      <c r="A42">
        <v>4</v>
      </c>
      <c r="B42" t="str">
        <f>IFERROR(INDEX(Sheet1!A$2:A$113,MATCH(LARGE(Sheet1!H$2:H$113,3),Sheet1!H$2:H$113,0)),"")</f>
        <v>Anti-Skid Absorbent Insulation Coaster For Home Office</v>
      </c>
      <c r="C42" s="8">
        <f>IFERROR(LARGE(Sheet1!H$2:H$113,4),"")</f>
        <v>5</v>
      </c>
      <c r="D42" s="2"/>
      <c r="E42" s="1"/>
    </row>
    <row r="43" spans="1:6" x14ac:dyDescent="0.35">
      <c r="A43">
        <v>5</v>
      </c>
      <c r="B43" t="str">
        <f>IFERROR(INDEX(Sheet1!A$2:A$113,MATCH(LARGE(Sheet1!H$2:H$113,5),Sheet1!H$2:H$113,0)),"")</f>
        <v>Anti-Skid Absorbent Insulation Coaster For Home Office</v>
      </c>
      <c r="C43" s="8">
        <f>IFERROR(LARGE(Sheet1!H$2:H$113,5),"")</f>
        <v>5</v>
      </c>
      <c r="D43" s="2"/>
      <c r="E43" s="1"/>
    </row>
    <row r="46" spans="1:6" x14ac:dyDescent="0.35">
      <c r="A46" t="s">
        <v>291</v>
      </c>
    </row>
    <row r="47" spans="1:6" x14ac:dyDescent="0.35">
      <c r="A47" t="s">
        <v>287</v>
      </c>
      <c r="B47" t="s">
        <v>288</v>
      </c>
      <c r="C47" t="s">
        <v>289</v>
      </c>
    </row>
    <row r="48" spans="1:6" x14ac:dyDescent="0.35">
      <c r="A48">
        <v>1</v>
      </c>
      <c r="B48" t="str">
        <f>IFERROR(INDEX(Sheet1!A$2:A$113,MATCH(SMALL(Sheet1!H$2:H$113,1),Sheet1!H$2:H$113,0)),"")</f>
        <v>Wall-mounted Sticker Punch-free Plug Fixer</v>
      </c>
      <c r="C48" s="8">
        <f>IFERROR(SMALL(Sheet1!H$2:H$113,1),"")</f>
        <v>2</v>
      </c>
      <c r="D48" s="2"/>
      <c r="E48" s="1"/>
    </row>
    <row r="49" spans="1:5" x14ac:dyDescent="0.35">
      <c r="A49">
        <v>2</v>
      </c>
      <c r="B49" t="str">
        <f>IFERROR(INDEX(Sheet1!A$2:A$113,MATCH(SMALL(Sheet1!H$2:H$113,2),Sheet1!H$2:H$113,0)),"")</f>
        <v>5-PCS Stainless Steel Cooking Pot Set With Steamed Slices</v>
      </c>
      <c r="C49" s="8">
        <f>IFERROR(SMALL(Sheet1!H$2:H$113,2),"")</f>
        <v>2.1</v>
      </c>
      <c r="D49" s="2"/>
      <c r="E49" s="1"/>
    </row>
    <row r="50" spans="1:5" x14ac:dyDescent="0.35">
      <c r="A50">
        <v>3</v>
      </c>
      <c r="B50" t="str">
        <f>IFERROR(INDEX(Sheet1!A$2:A$113,MATCH(SMALL(Sheet1!H$2:H$113,3),Sheet1!H$2:H$113,0)),"")</f>
        <v>5-PCS Stainless Steel Cooking Pot Set With Steamed Slices</v>
      </c>
      <c r="C50" s="8">
        <f>IFERROR(SMALL(Sheet1!H$2:H$113,3),"")</f>
        <v>2.1</v>
      </c>
      <c r="D50" s="2"/>
      <c r="E50" s="1"/>
    </row>
    <row r="51" spans="1:5" x14ac:dyDescent="0.35">
      <c r="A51">
        <v>4</v>
      </c>
      <c r="B51" t="str">
        <f>IFERROR(INDEX(Sheet1!A$2:A$113,MATCH(SMALL(Sheet1!H$2:H$113,4),Sheet1!H$2:H$113,0)),"")</f>
        <v>Artificial Potted Flowers Room Decorative Flowers (2 Pieces)</v>
      </c>
      <c r="C51" s="8">
        <f>IFERROR(SMALL(Sheet1!H$2:H$113,4),"")</f>
        <v>2.2000000000000002</v>
      </c>
      <c r="D51" s="2"/>
      <c r="E51" s="1"/>
    </row>
    <row r="52" spans="1:5" x14ac:dyDescent="0.35">
      <c r="A52">
        <v>5</v>
      </c>
      <c r="B52" t="str">
        <f>IFERROR(INDEX(Sheet1!A$2:A$113,MATCH(SMALL(Sheet1!H$2:H$113,5),Sheet1!H$2:H$113,0)),"")</f>
        <v>Artificial Potted Flowers Room Decorative Flowers (2 Pieces)</v>
      </c>
      <c r="C52" s="8">
        <f>IFERROR(SMALL(Sheet1!H$2:H$113,5),"")</f>
        <v>2.2000000000000002</v>
      </c>
      <c r="D52" s="2"/>
      <c r="E5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49DA-064C-4D40-8865-22CA4C78F127}">
  <dimension ref="A1:B26"/>
  <sheetViews>
    <sheetView topLeftCell="A8" workbookViewId="0">
      <selection activeCell="B16" sqref="B16"/>
    </sheetView>
  </sheetViews>
  <sheetFormatPr defaultColWidth="28.36328125" defaultRowHeight="14.5" x14ac:dyDescent="0.35"/>
  <sheetData>
    <row r="1" spans="1:2" x14ac:dyDescent="0.35">
      <c r="A1" s="21" t="str">
        <f>[1]Analysis!F22</f>
        <v>TOP 10 BY DISCOUNT</v>
      </c>
      <c r="B1" s="21"/>
    </row>
    <row r="2" spans="1:2" x14ac:dyDescent="0.35">
      <c r="A2" s="20" t="str">
        <f>[1]Analysis!F23</f>
        <v>Product (Top Discount)</v>
      </c>
      <c r="B2" s="20" t="str">
        <f>[1]Analysis!G23</f>
        <v>Discount %</v>
      </c>
    </row>
    <row r="3" spans="1:2" ht="44.5" customHeight="1" x14ac:dyDescent="0.35">
      <c r="A3" s="11" t="str">
        <f>IFERROR(INDEX(Sheet1!A$2:A$113,MATCH(LARGE(Sheet1!E$2:E$113,1),Sheet1!E$2:E$113,0)),"")</f>
        <v>6 In 1 Bottle Can Opener Multifunctional Easy Opener</v>
      </c>
      <c r="B3" s="12">
        <f>IFERROR(LARGE(Sheet1!E$2:E$113,1),"")</f>
        <v>0.64</v>
      </c>
    </row>
    <row r="4" spans="1:2" ht="24" customHeight="1" x14ac:dyDescent="0.35">
      <c r="A4" s="13" t="str">
        <f>IFERROR(INDEX(Sheet1!A$2:A$113,MATCH(LARGE(Sheet1!E$2:E$113,2),Sheet1!E$2:E$113,0)),"")</f>
        <v>Creative Owl Shape Keychain Black</v>
      </c>
      <c r="B4" s="14">
        <f>IFERROR(LARGE(Sheet1!E$2:E$113,2),"")</f>
        <v>0.61</v>
      </c>
    </row>
    <row r="5" spans="1:2" ht="26.5" customHeight="1" x14ac:dyDescent="0.35">
      <c r="A5" s="11" t="str">
        <f>IFERROR(INDEX(Sheet1!A$2:A$113,MATCH(LARGE(Sheet1!E$2:E$113,3),Sheet1!E$2:E$113,0)),"")</f>
        <v>LASA FOLDING TABLE SERVING STAND</v>
      </c>
      <c r="B5" s="12">
        <f>IFERROR(LARGE(Sheet1!E$2:E$113,3),"")</f>
        <v>0.55000000000000004</v>
      </c>
    </row>
    <row r="6" spans="1:2" ht="28" customHeight="1" x14ac:dyDescent="0.35">
      <c r="A6" s="13" t="str">
        <f>IFERROR(INDEX(Sheet1!A$2:A$113,MATCH(LARGE(Sheet1!E$2:E$113,4),Sheet1!E$2:E$113,0)),"")</f>
        <v>LASA FOLDING TABLE SERVING STAND</v>
      </c>
      <c r="B6" s="14">
        <f>IFERROR(LARGE(Sheet1!E$2:E$113,4),"")</f>
        <v>0.55000000000000004</v>
      </c>
    </row>
    <row r="7" spans="1:2" ht="21.5" customHeight="1" x14ac:dyDescent="0.35">
      <c r="A7" s="11" t="str">
        <f>IFERROR(INDEX(Sheet1!A$2:A$113,MATCH(LARGE(Sheet1!E$2:E$113,5),Sheet1!E$2:E$113,0)),"")</f>
        <v>LASA FOLDING TABLE SERVING STAND</v>
      </c>
      <c r="B7" s="12">
        <f>IFERROR(LARGE(Sheet1!E$2:E$113,5),"")</f>
        <v>0.55000000000000004</v>
      </c>
    </row>
    <row r="8" spans="1:2" ht="20" customHeight="1" x14ac:dyDescent="0.35">
      <c r="A8" s="13" t="str">
        <f>IFERROR(INDEX(Sheet1!A$2:A$113,MATCH(LARGE(Sheet1!E$2:E$113,6),Sheet1!E$2:E$113,0)),"")</f>
        <v>LASA 3 Tier Bamboo Shoe Bench Storage Shelf</v>
      </c>
      <c r="B8" s="14">
        <f>IFERROR(LARGE(Sheet1!E$2:E$113,6),"")</f>
        <v>0.54</v>
      </c>
    </row>
    <row r="9" spans="1:2" ht="28" customHeight="1" x14ac:dyDescent="0.35">
      <c r="A9" s="11" t="str">
        <f>IFERROR(INDEX(Sheet1!A$2:A$113,MATCH(LARGE(Sheet1!E$2:E$113,7),Sheet1!E$2:E$113,0)),"")</f>
        <v>LASA 3 Tier Bamboo Shoe Bench Storage Shelf</v>
      </c>
      <c r="B9" s="12">
        <f>IFERROR(LARGE(Sheet1!E$2:E$113,7),"")</f>
        <v>0.54</v>
      </c>
    </row>
    <row r="10" spans="1:2" ht="26.5" customHeight="1" x14ac:dyDescent="0.35">
      <c r="A10" s="13" t="str">
        <f>IFERROR(INDEX(Sheet1!A$2:A$113,MATCH(LARGE(Sheet1!E$2:E$113,8),Sheet1!E$2:E$113,0)),"")</f>
        <v>3PCS Single Head Knitting Crochet Sweater Needle Set</v>
      </c>
      <c r="B10" s="14">
        <f>IFERROR(LARGE(Sheet1!E$2:E$113,8),"")</f>
        <v>0.53</v>
      </c>
    </row>
    <row r="11" spans="1:2" ht="29.5" customHeight="1" x14ac:dyDescent="0.35">
      <c r="A11" s="11" t="str">
        <f>IFERROR(INDEX(Sheet1!A$2:A$113,MATCH(LARGE(Sheet1!E$2:E$113,9),Sheet1!E$2:E$113,0)),"")</f>
        <v>3PCS Single Head Knitting Crochet Sweater Needle Set</v>
      </c>
      <c r="B11" s="12">
        <f>IFERROR(LARGE(Sheet1!E$2:E$113,9),"")</f>
        <v>0.53</v>
      </c>
    </row>
    <row r="12" spans="1:2" ht="23.5" customHeight="1" x14ac:dyDescent="0.35">
      <c r="A12" s="13" t="str">
        <f>IFERROR(INDEX(Sheet1!A$2:A$113,MATCH(LARGE(Sheet1!E$2:E$113,10),Sheet1!E$2:E$113,0)),"")</f>
        <v>Exfoliate And Exfoliate Face Towel - Black</v>
      </c>
      <c r="B12" s="14">
        <f>IFERROR(LARGE(Sheet1!E$2:E$113,10),"")</f>
        <v>0.52</v>
      </c>
    </row>
    <row r="13" spans="1:2" ht="23.5" customHeight="1" x14ac:dyDescent="0.35">
      <c r="A13" s="22"/>
      <c r="B13" s="23"/>
    </row>
    <row r="14" spans="1:2" x14ac:dyDescent="0.35">
      <c r="A14" s="18" t="s">
        <v>285</v>
      </c>
      <c r="B14" s="18"/>
    </row>
    <row r="15" spans="1:2" x14ac:dyDescent="0.35">
      <c r="A15" s="19" t="s">
        <v>286</v>
      </c>
      <c r="B15" s="19" t="s">
        <v>283</v>
      </c>
    </row>
    <row r="16" spans="1:2" ht="23" x14ac:dyDescent="0.35">
      <c r="A16" s="11" t="str">
        <f>IFERROR(INDEX(Sheet1!A$2:A$113,MATCH(LARGE(Sheet1!G$2:G$113,1),Sheet1!G$2:G$113,0)),"")</f>
        <v>120W Cordless Vacuum Cleaners Handheld Electric Vacuum Cleaner</v>
      </c>
      <c r="B16" s="15">
        <f>IFERROR(ABS(LARGE(Sheet1!G$2:G$113,1)),"")</f>
        <v>69</v>
      </c>
    </row>
    <row r="17" spans="1:2" ht="20" customHeight="1" x14ac:dyDescent="0.35">
      <c r="A17" s="11" t="str">
        <f>IFERROR(INDEX(Sheet1!A$2:A$113,MATCH(LARGE(Sheet1!G$2:G$113,2),Sheet1!G$2:G$113,0)),"")</f>
        <v>137 Pieces Cake Decorating Tool Set Baking Supplies</v>
      </c>
      <c r="B17" s="15">
        <f>IFERROR(ABS(LARGE(Sheet1!G$2:G$113,2)),"")</f>
        <v>55</v>
      </c>
    </row>
    <row r="18" spans="1:2" ht="23" x14ac:dyDescent="0.35">
      <c r="A18" s="16" t="str">
        <f>IFERROR(INDEX(Sheet1!A$2:A$113,MATCH(LARGE(Sheet1!G$2:G$113,3),Sheet1!G$2:G$113,0)),"")</f>
        <v>Electronic Digital Display Vernier Caliper</v>
      </c>
      <c r="B18" s="17">
        <f>IFERROR(ABS(LARGE(Sheet1!G$2:G$113,3)),"")</f>
        <v>49</v>
      </c>
    </row>
    <row r="19" spans="1:2" ht="23" x14ac:dyDescent="0.35">
      <c r="A19" s="11" t="str">
        <f>IFERROR(INDEX(Sheet1!A$2:A$113,MATCH(LARGE(Sheet1!G$2:G$113,4),Sheet1!G$2:G$113,0)),"")</f>
        <v>3D Waterproof EVA Plastic Shower Curtain 1.8*2Mtrs</v>
      </c>
      <c r="B19" s="15">
        <f>IFERROR(ABS(LARGE(Sheet1!G$2:G$113,4)),"")</f>
        <v>44</v>
      </c>
    </row>
    <row r="20" spans="1:2" ht="23" x14ac:dyDescent="0.35">
      <c r="A20" s="16" t="str">
        <f>IFERROR(INDEX(Sheet1!A$2:A$113,MATCH(LARGE(Sheet1!G$2:G$113,5),Sheet1!G$2:G$113,0)),"")</f>
        <v>100 Pcs Crochet Hook Tool Set Knitting Hook Set With Box</v>
      </c>
      <c r="B20" s="17">
        <f>IFERROR(ABS(LARGE(Sheet1!G$2:G$113,5)),"")</f>
        <v>39</v>
      </c>
    </row>
    <row r="21" spans="1:2" ht="34.5" x14ac:dyDescent="0.35">
      <c r="A21" s="11" t="str">
        <f>IFERROR(INDEX(Sheet1!A$2:A$113,MATCH(LARGE(Sheet1!G$2:G$113,6),Sheet1!G$2:G$113,0)),"")</f>
        <v>Punch-free Great Load Bearing Bathroom Storage Rack Wall Shelf-White</v>
      </c>
      <c r="B21" s="15">
        <f>IFERROR(ABS(LARGE(Sheet1!G$2:G$113,6)),"")</f>
        <v>36</v>
      </c>
    </row>
    <row r="22" spans="1:2" ht="23" x14ac:dyDescent="0.35">
      <c r="A22" s="16" t="str">
        <f>IFERROR(INDEX(Sheet1!A$2:A$113,MATCH(LARGE(Sheet1!G$2:G$113,7),Sheet1!G$2:G$113,0)),"")</f>
        <v>53 Pieces/Set Yarn Knitting Crochet Hooks With Bag - Pansies</v>
      </c>
      <c r="B22" s="17">
        <f>IFERROR(ABS(LARGE(Sheet1!G$2:G$113,7)),"")</f>
        <v>32</v>
      </c>
    </row>
    <row r="23" spans="1:2" ht="23" x14ac:dyDescent="0.35">
      <c r="A23" s="11" t="str">
        <f>IFERROR(INDEX(Sheet1!A$2:A$113,MATCH(LARGE(Sheet1!G$2:G$113,8),Sheet1!G$2:G$113,0)),"")</f>
        <v>Portable Mini Cordless Car Vacuum Cleaner - Blue</v>
      </c>
      <c r="B23" s="15">
        <f>IFERROR(ABS(LARGE(Sheet1!G$2:G$113,8)),"")</f>
        <v>24</v>
      </c>
    </row>
    <row r="24" spans="1:2" ht="23" x14ac:dyDescent="0.35">
      <c r="A24" s="16" t="str">
        <f>IFERROR(INDEX(Sheet1!A$2:A$113,MATCH(LARGE(Sheet1!G$2:G$113,9),Sheet1!G$2:G$113,0)),"")</f>
        <v>52 Pieces Cake Decorating Tool Set Gift Kit Baking Supplies</v>
      </c>
      <c r="B24" s="17">
        <f>IFERROR(ABS(LARGE(Sheet1!G$2:G$113,9)),"")</f>
        <v>20</v>
      </c>
    </row>
    <row r="25" spans="1:2" ht="23" x14ac:dyDescent="0.35">
      <c r="A25" s="16" t="str">
        <f>IFERROR(INDEX(Sheet1!A$2:A$113,MATCH(LARGE(Sheet1!G$2:G$113,10),Sheet1!G$2:G$113,0)),"")</f>
        <v>52 Pieces Cake Decorating Tool Set Gift Kit Baking Supplies</v>
      </c>
      <c r="B25" s="17">
        <f>IFERROR(ABS(LARGE(Sheet1!G$2:G$113,10)),"")</f>
        <v>20</v>
      </c>
    </row>
    <row r="26" spans="1:2" x14ac:dyDescent="0.35">
      <c r="A26" s="10"/>
      <c r="B26" s="10"/>
    </row>
  </sheetData>
  <mergeCells count="2">
    <mergeCell ref="A1:B1"/>
    <mergeCell ref="A14:B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DB8F-FA54-46B0-87EE-96963F8E099C}">
  <dimension ref="A1:X8"/>
  <sheetViews>
    <sheetView topLeftCell="A18" workbookViewId="0">
      <selection activeCell="A2" sqref="A2:XFD2"/>
    </sheetView>
  </sheetViews>
  <sheetFormatPr defaultRowHeight="14.5" x14ac:dyDescent="0.35"/>
  <sheetData>
    <row r="1" spans="1:24" s="47" customFormat="1" ht="21" x14ac:dyDescent="0.5">
      <c r="A1" s="45" t="s">
        <v>298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6"/>
    </row>
    <row r="2" spans="1:24" ht="15.5" x14ac:dyDescent="0.35">
      <c r="A2" s="44" t="s">
        <v>292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25"/>
    </row>
    <row r="3" spans="1:24" x14ac:dyDescent="0.3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28" x14ac:dyDescent="0.35">
      <c r="A4" s="25"/>
      <c r="B4" s="26">
        <f>Sheet3!B3</f>
        <v>112</v>
      </c>
      <c r="C4" s="26"/>
      <c r="D4" s="26"/>
      <c r="E4" s="26"/>
      <c r="F4" s="26"/>
      <c r="G4" s="25"/>
      <c r="H4" s="27">
        <f>Sheet3!B8</f>
        <v>723</v>
      </c>
      <c r="I4" s="27"/>
      <c r="J4" s="27"/>
      <c r="K4" s="27"/>
      <c r="L4" s="27"/>
      <c r="M4" s="25"/>
      <c r="N4" s="28">
        <f>Sheet3!B7</f>
        <v>3.8894736842105258</v>
      </c>
      <c r="O4" s="28"/>
      <c r="P4" s="28"/>
      <c r="Q4" s="28"/>
      <c r="R4" s="25"/>
      <c r="S4" s="29">
        <f>Sheet3!B6</f>
        <v>0.36776785714285715</v>
      </c>
      <c r="T4" s="29"/>
      <c r="U4" s="29"/>
      <c r="V4" s="29"/>
      <c r="W4" s="29"/>
      <c r="X4" s="25"/>
    </row>
    <row r="5" spans="1:24" x14ac:dyDescent="0.35">
      <c r="A5" s="25"/>
      <c r="B5" s="24" t="s">
        <v>297</v>
      </c>
      <c r="C5" s="24"/>
      <c r="D5" s="24"/>
      <c r="E5" s="24"/>
      <c r="F5" s="24"/>
      <c r="G5" s="25"/>
      <c r="H5" s="30" t="s">
        <v>294</v>
      </c>
      <c r="I5" s="30"/>
      <c r="J5" s="30"/>
      <c r="K5" s="30"/>
      <c r="L5" s="30"/>
      <c r="M5" s="25"/>
      <c r="N5" s="31" t="s">
        <v>295</v>
      </c>
      <c r="O5" s="31"/>
      <c r="P5" s="31"/>
      <c r="Q5" s="31"/>
      <c r="R5" s="25"/>
      <c r="S5" s="32" t="s">
        <v>296</v>
      </c>
      <c r="T5" s="32"/>
      <c r="U5" s="32"/>
      <c r="V5" s="32"/>
      <c r="W5" s="32"/>
      <c r="X5" s="25"/>
    </row>
    <row r="6" spans="1:24" x14ac:dyDescent="0.3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x14ac:dyDescent="0.35">
      <c r="X7" s="25"/>
    </row>
    <row r="8" spans="1:24" ht="15.5" x14ac:dyDescent="0.35">
      <c r="A8" s="44" t="s">
        <v>293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25"/>
    </row>
  </sheetData>
  <mergeCells count="11">
    <mergeCell ref="A8:W8"/>
    <mergeCell ref="B4:F4"/>
    <mergeCell ref="H4:L4"/>
    <mergeCell ref="N4:Q4"/>
    <mergeCell ref="S4:W4"/>
    <mergeCell ref="B5:F5"/>
    <mergeCell ref="H5:L5"/>
    <mergeCell ref="N5:Q5"/>
    <mergeCell ref="S5:W5"/>
    <mergeCell ref="A1:W1"/>
    <mergeCell ref="A2:W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Excel_jumia_dataset (2)</vt:lpstr>
      <vt:lpstr>Sheet1</vt:lpstr>
      <vt:lpstr>Sheet3</vt:lpstr>
      <vt:lpstr>Trend Analysis</vt:lpstr>
      <vt:lpstr>Product Performance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Tori Gikonyo</cp:lastModifiedBy>
  <dcterms:created xsi:type="dcterms:W3CDTF">2026-06-12T23:57:08Z</dcterms:created>
  <dcterms:modified xsi:type="dcterms:W3CDTF">2026-06-13T10:34:52Z</dcterms:modified>
</cp:coreProperties>
</file>